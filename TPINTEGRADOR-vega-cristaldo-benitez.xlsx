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zequ\OneDrive\Documentos\Instituto politecnico formosa\2do AÑO\Primer cuatrimestre\Estadistica\TPINTEGRADOR\"/>
    </mc:Choice>
  </mc:AlternateContent>
  <xr:revisionPtr revIDLastSave="0" documentId="8_{E2A048C4-446B-4684-A450-E5AD998564ED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Datos_limpios_200" sheetId="1" r:id="rId1"/>
    <sheet name="Resumen_limpieza" sheetId="2" r:id="rId2"/>
    <sheet name="Revision_y_no_usadas" sheetId="3" r:id="rId3"/>
    <sheet name="Datos_originales" sheetId="4" r:id="rId4"/>
    <sheet name="Desarrollo_1ra_etapa" sheetId="5" r:id="rId5"/>
    <sheet name="Frecuencias_pantalla" sheetId="6" r:id="rId6"/>
    <sheet name="Regresion_lineal" sheetId="7" r:id="rId7"/>
    <sheet name="Datos_catedra" sheetId="8" r:id="rId8"/>
    <sheet name="Frecuencias_catedra" sheetId="9" r:id="rId9"/>
    <sheet name="Comparacion_catedr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0" l="1"/>
  <c r="D8" i="10" s="1"/>
  <c r="B8" i="10"/>
  <c r="C6" i="10"/>
  <c r="D6" i="10" s="1"/>
  <c r="B6" i="10"/>
  <c r="D5" i="10"/>
  <c r="C5" i="10"/>
  <c r="B5" i="10"/>
  <c r="C4" i="10"/>
  <c r="B4" i="10"/>
  <c r="B7" i="10" s="1"/>
  <c r="B16" i="9"/>
  <c r="D16" i="9" s="1"/>
  <c r="F16" i="9" s="1"/>
  <c r="B15" i="9"/>
  <c r="B14" i="9"/>
  <c r="D14" i="9" s="1"/>
  <c r="F14" i="9" s="1"/>
  <c r="B13" i="9"/>
  <c r="B12" i="9"/>
  <c r="J11" i="9"/>
  <c r="B11" i="9"/>
  <c r="J10" i="9"/>
  <c r="B10" i="9"/>
  <c r="B9" i="9"/>
  <c r="D9" i="9" s="1"/>
  <c r="F9" i="9" s="1"/>
  <c r="B8" i="9"/>
  <c r="D4" i="9" s="1"/>
  <c r="F4" i="9" s="1"/>
  <c r="B7" i="9"/>
  <c r="D7" i="9" s="1"/>
  <c r="F7" i="9" s="1"/>
  <c r="B6" i="9"/>
  <c r="J5" i="9"/>
  <c r="B5" i="9"/>
  <c r="D5" i="9" s="1"/>
  <c r="F5" i="9" s="1"/>
  <c r="J4" i="9"/>
  <c r="B4" i="9"/>
  <c r="C15" i="9" s="1"/>
  <c r="E15" i="9" s="1"/>
  <c r="G15" i="9" s="1"/>
  <c r="B7" i="7"/>
  <c r="B6" i="7"/>
  <c r="B8" i="7" s="1"/>
  <c r="B5" i="7"/>
  <c r="B4" i="7"/>
  <c r="E15" i="6"/>
  <c r="D15" i="6"/>
  <c r="E14" i="6"/>
  <c r="D14" i="6"/>
  <c r="E13" i="6"/>
  <c r="G13" i="6" s="1"/>
  <c r="I13" i="6" s="1"/>
  <c r="D13" i="6"/>
  <c r="E12" i="6"/>
  <c r="G12" i="6" s="1"/>
  <c r="I12" i="6" s="1"/>
  <c r="M12" i="6" s="1"/>
  <c r="D12" i="6"/>
  <c r="E11" i="6"/>
  <c r="M6" i="6" s="1"/>
  <c r="D11" i="6"/>
  <c r="E10" i="6"/>
  <c r="G10" i="6" s="1"/>
  <c r="I10" i="6" s="1"/>
  <c r="D10" i="6"/>
  <c r="E9" i="6"/>
  <c r="G9" i="6" s="1"/>
  <c r="I9" i="6" s="1"/>
  <c r="M11" i="6" s="1"/>
  <c r="D9" i="6"/>
  <c r="E8" i="6"/>
  <c r="M5" i="6" s="1"/>
  <c r="D8" i="6"/>
  <c r="E7" i="6"/>
  <c r="G7" i="6" s="1"/>
  <c r="I7" i="6" s="1"/>
  <c r="D7" i="6"/>
  <c r="E6" i="6"/>
  <c r="G6" i="6" s="1"/>
  <c r="I6" i="6" s="1"/>
  <c r="M10" i="6" s="1"/>
  <c r="D6" i="6"/>
  <c r="E5" i="6"/>
  <c r="M4" i="6" s="1"/>
  <c r="D5" i="6"/>
  <c r="E4" i="6"/>
  <c r="E16" i="6" s="1"/>
  <c r="D4" i="6"/>
  <c r="C27" i="5"/>
  <c r="B27" i="5"/>
  <c r="B26" i="5"/>
  <c r="C26" i="5" s="1"/>
  <c r="B25" i="5"/>
  <c r="C25" i="5" s="1"/>
  <c r="C24" i="5"/>
  <c r="B24" i="5"/>
  <c r="C23" i="5"/>
  <c r="B23" i="5"/>
  <c r="B22" i="5"/>
  <c r="C22" i="5" s="1"/>
  <c r="B21" i="5"/>
  <c r="C21" i="5" s="1"/>
  <c r="C20" i="5"/>
  <c r="B20" i="5"/>
  <c r="B18" i="5"/>
  <c r="B19" i="5" s="1"/>
  <c r="C19" i="5" s="1"/>
  <c r="B17" i="5"/>
  <c r="C17" i="5" s="1"/>
  <c r="C16" i="5"/>
  <c r="B16" i="5"/>
  <c r="C15" i="5"/>
  <c r="B15" i="5"/>
  <c r="B14" i="5"/>
  <c r="C14" i="5" s="1"/>
  <c r="C13" i="5"/>
  <c r="B12" i="5"/>
  <c r="C12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4" i="6" l="1"/>
  <c r="H4" i="6" s="1"/>
  <c r="J4" i="6" s="1"/>
  <c r="F5" i="6"/>
  <c r="H5" i="6" s="1"/>
  <c r="J5" i="6" s="1"/>
  <c r="F6" i="6"/>
  <c r="H6" i="6" s="1"/>
  <c r="J6" i="6" s="1"/>
  <c r="F7" i="6"/>
  <c r="F8" i="6"/>
  <c r="H8" i="6" s="1"/>
  <c r="J8" i="6" s="1"/>
  <c r="F9" i="6"/>
  <c r="H9" i="6" s="1"/>
  <c r="J9" i="6" s="1"/>
  <c r="F10" i="6"/>
  <c r="F11" i="6"/>
  <c r="H11" i="6" s="1"/>
  <c r="J11" i="6" s="1"/>
  <c r="M13" i="6" s="1"/>
  <c r="F12" i="6"/>
  <c r="H12" i="6" s="1"/>
  <c r="J12" i="6" s="1"/>
  <c r="F13" i="6"/>
  <c r="F15" i="6"/>
  <c r="H15" i="6" s="1"/>
  <c r="J15" i="6" s="1"/>
  <c r="M14" i="6" s="1"/>
  <c r="G4" i="6"/>
  <c r="G5" i="6"/>
  <c r="I5" i="6" s="1"/>
  <c r="G8" i="6"/>
  <c r="I8" i="6" s="1"/>
  <c r="G11" i="6"/>
  <c r="I11" i="6" s="1"/>
  <c r="G14" i="6"/>
  <c r="I14" i="6" s="1"/>
  <c r="G15" i="6"/>
  <c r="I15" i="6" s="1"/>
  <c r="D15" i="9"/>
  <c r="F15" i="9" s="1"/>
  <c r="C8" i="9"/>
  <c r="E8" i="9" s="1"/>
  <c r="G8" i="9" s="1"/>
  <c r="C14" i="9"/>
  <c r="E14" i="9" s="1"/>
  <c r="G14" i="9" s="1"/>
  <c r="C9" i="9"/>
  <c r="E9" i="9" s="1"/>
  <c r="G9" i="9" s="1"/>
  <c r="D10" i="9"/>
  <c r="F10" i="9" s="1"/>
  <c r="C7" i="9"/>
  <c r="E7" i="9" s="1"/>
  <c r="G7" i="9" s="1"/>
  <c r="D8" i="9"/>
  <c r="F8" i="9" s="1"/>
  <c r="F14" i="6"/>
  <c r="H14" i="6" s="1"/>
  <c r="J14" i="6" s="1"/>
  <c r="J6" i="9"/>
  <c r="C18" i="5"/>
  <c r="C6" i="9"/>
  <c r="E6" i="9" s="1"/>
  <c r="G6" i="9" s="1"/>
  <c r="C13" i="9"/>
  <c r="E13" i="9" s="1"/>
  <c r="G13" i="9" s="1"/>
  <c r="C5" i="9"/>
  <c r="E5" i="9" s="1"/>
  <c r="G5" i="9" s="1"/>
  <c r="D6" i="9"/>
  <c r="F6" i="9" s="1"/>
  <c r="D13" i="9"/>
  <c r="F13" i="9" s="1"/>
  <c r="C4" i="9"/>
  <c r="E4" i="9" s="1"/>
  <c r="G4" i="9" s="1"/>
  <c r="C12" i="9"/>
  <c r="E12" i="9" s="1"/>
  <c r="G12" i="9" s="1"/>
  <c r="C16" i="9"/>
  <c r="E16" i="9" s="1"/>
  <c r="G16" i="9" s="1"/>
  <c r="C11" i="9"/>
  <c r="E11" i="9" s="1"/>
  <c r="G11" i="9" s="1"/>
  <c r="D12" i="9"/>
  <c r="F12" i="9" s="1"/>
  <c r="J7" i="9"/>
  <c r="J8" i="9" s="1"/>
  <c r="C10" i="9"/>
  <c r="E10" i="9" s="1"/>
  <c r="G10" i="9" s="1"/>
  <c r="D11" i="9"/>
  <c r="F11" i="9" s="1"/>
  <c r="J9" i="9" l="1"/>
  <c r="C7" i="10"/>
  <c r="D7" i="10" s="1"/>
  <c r="G16" i="6"/>
  <c r="I4" i="6"/>
  <c r="I16" i="6" s="1"/>
  <c r="M7" i="6"/>
  <c r="H7" i="6"/>
  <c r="J7" i="6" s="1"/>
  <c r="M8" i="6"/>
  <c r="H10" i="6"/>
  <c r="J10" i="6" s="1"/>
  <c r="M9" i="6"/>
  <c r="H13" i="6"/>
  <c r="J13" i="6" s="1"/>
</calcChain>
</file>

<file path=xl/sharedStrings.xml><?xml version="1.0" encoding="utf-8"?>
<sst xmlns="http://schemas.openxmlformats.org/spreadsheetml/2006/main" count="4235" uniqueCount="195">
  <si>
    <t>Encuestado</t>
  </si>
  <si>
    <t>Edad</t>
  </si>
  <si>
    <t>Dispositivo</t>
  </si>
  <si>
    <t>Horas pantalla promedio</t>
  </si>
  <si>
    <t>Día mayor uso</t>
  </si>
  <si>
    <t>Horas día mayor uso</t>
  </si>
  <si>
    <t>App más usada</t>
  </si>
  <si>
    <t>Otra app</t>
  </si>
  <si>
    <t>Horas redes sociales</t>
  </si>
  <si>
    <t>Rendimiento académico</t>
  </si>
  <si>
    <t>Afecta concentración</t>
  </si>
  <si>
    <t>Cuesta desconectarse</t>
  </si>
  <si>
    <t>Usa celular antes de dormir</t>
  </si>
  <si>
    <t>Observaciones limpieza</t>
  </si>
  <si>
    <t>iPhone</t>
  </si>
  <si>
    <t>Lunes</t>
  </si>
  <si>
    <t>Otra</t>
  </si>
  <si>
    <t>spotify</t>
  </si>
  <si>
    <t>Sí, un poco</t>
  </si>
  <si>
    <t>Sí, a veces</t>
  </si>
  <si>
    <t>Sí, todos los días</t>
  </si>
  <si>
    <t>Sin observaciones</t>
  </si>
  <si>
    <t>Android</t>
  </si>
  <si>
    <t>Domingo</t>
  </si>
  <si>
    <t>Netflix u otra plataforma de streaming</t>
  </si>
  <si>
    <t>Sí, siempre</t>
  </si>
  <si>
    <t>Horas pantalla: Corregido: 62 → 6.2</t>
  </si>
  <si>
    <t>Viernes</t>
  </si>
  <si>
    <t>Instagram</t>
  </si>
  <si>
    <t>No afecta nada</t>
  </si>
  <si>
    <t>Casi nunca</t>
  </si>
  <si>
    <t>Horas pantalla: Corregido: 050 → 5.0</t>
  </si>
  <si>
    <t>TikTok</t>
  </si>
  <si>
    <t>Sí, mucho</t>
  </si>
  <si>
    <t>Miércoles</t>
  </si>
  <si>
    <t>Videojuegos</t>
  </si>
  <si>
    <t>Sí, varias veces por semana</t>
  </si>
  <si>
    <t>Jueves</t>
  </si>
  <si>
    <t>WhatsApp</t>
  </si>
  <si>
    <t>No afecta demasiado</t>
  </si>
  <si>
    <t>Otro</t>
  </si>
  <si>
    <t>X / Twitter</t>
  </si>
  <si>
    <t>Sábado</t>
  </si>
  <si>
    <t>YouTube</t>
  </si>
  <si>
    <t>Martes</t>
  </si>
  <si>
    <t>Nunca</t>
  </si>
  <si>
    <t>Google / Navegador</t>
  </si>
  <si>
    <t>Facebook</t>
  </si>
  <si>
    <t>Discord</t>
  </si>
  <si>
    <t>Pornhub</t>
  </si>
  <si>
    <t>Reddit</t>
  </si>
  <si>
    <t>Spotify</t>
  </si>
  <si>
    <t>Twitch</t>
  </si>
  <si>
    <t>Resumen de limpieza de datos</t>
  </si>
  <si>
    <t>Archivo original</t>
  </si>
  <si>
    <t>Encuesta sobre bienestar digital y uso de pantallas (respuestas).xlsx</t>
  </si>
  <si>
    <t>Respuestas originales recibidas</t>
  </si>
  <si>
    <t>Muestra utilizada para el TP</t>
  </si>
  <si>
    <t>Criterio aplicado</t>
  </si>
  <si>
    <t>Se usaron las primeras 200 respuestas, limpiando formatos numéricos y corrigiendo errores evidentes de carga.</t>
  </si>
  <si>
    <t>Correcciones aplicadas</t>
  </si>
  <si>
    <t>Valores de horas imposibles por día (&gt;24) se interpretaron como error de decimal. Ej.: 62 → 6,2; 050 → 5,0.</t>
  </si>
  <si>
    <t>Variable</t>
  </si>
  <si>
    <t>Media</t>
  </si>
  <si>
    <t>Mediana</t>
  </si>
  <si>
    <t>Mínimo</t>
  </si>
  <si>
    <t>Máximo</t>
  </si>
  <si>
    <t>Cantidad</t>
  </si>
  <si>
    <t>Fila original</t>
  </si>
  <si>
    <t>Estado</t>
  </si>
  <si>
    <t>Marca temporal</t>
  </si>
  <si>
    <t>Observaciones</t>
  </si>
  <si>
    <t>Usada en muestra de 200</t>
  </si>
  <si>
    <t>3.5</t>
  </si>
  <si>
    <t>050</t>
  </si>
  <si>
    <t>No usada: excede la muestra requerida de 200</t>
  </si>
  <si>
    <t>Pinterest</t>
  </si>
  <si>
    <t>2.5</t>
  </si>
  <si>
    <t>Por el trabajo uso más de 5 horas</t>
  </si>
  <si>
    <t>Trabajo Práctico Integrador - Primera etapa</t>
  </si>
  <si>
    <t>Variable estadística</t>
  </si>
  <si>
    <t>Cantidad de horas promedio de uso de pantalla por día.</t>
  </si>
  <si>
    <t>Consigna e)</t>
  </si>
  <si>
    <t>Tipo de variable</t>
  </si>
  <si>
    <t>Cuantitativa continua.</t>
  </si>
  <si>
    <t>Cantidad de estudiantes que utilizan entre 3 y 8 horas diarias las redes sociales</t>
  </si>
  <si>
    <t>Escala de medición</t>
  </si>
  <si>
    <t>Escala de razón, porque posee cero absoluto y permite comparar proporciones.</t>
  </si>
  <si>
    <t>Porcentaje de estudiantes que utilizan más de 6 horas diarias las redes sociales</t>
  </si>
  <si>
    <t>Población</t>
  </si>
  <si>
    <t>Personas/estudiantes que utilizan celulares o dispositivos móviles.</t>
  </si>
  <si>
    <t>Cantidad de estudiantes que utilizan menos de 2 horas diarias las redes sociales</t>
  </si>
  <si>
    <t>Muestra</t>
  </si>
  <si>
    <t>200 personas encuestadas mediante formulario digital.</t>
  </si>
  <si>
    <t>Porcentaje de estudiantes que utilizan entre 5 y 10 horas diarias las redes sociales</t>
  </si>
  <si>
    <t>Unidad de observación</t>
  </si>
  <si>
    <t>Cada persona encuestada.</t>
  </si>
  <si>
    <t>Cantidad de estudiantes que utilizan más de 8 horas diarias las redes sociales</t>
  </si>
  <si>
    <t>Base utilizada</t>
  </si>
  <si>
    <t>Hoja Datos_limpios_200 del archivo limpio.</t>
  </si>
  <si>
    <t>Porcentaje de estudiantes que utilizan menos de 4 horas diarias las redes sociales</t>
  </si>
  <si>
    <t>Cantidad de estudiantes que utilizan entre 1 y 6 horas diarias las redes sociales</t>
  </si>
  <si>
    <t>Medida</t>
  </si>
  <si>
    <t>Resultado</t>
  </si>
  <si>
    <t>Interpretación breve</t>
  </si>
  <si>
    <t>Porcentaje de estudiantes que utilizan más de 9 horas diarias las redes sociales</t>
  </si>
  <si>
    <t>Equivale al 0.00% de la muestra.</t>
  </si>
  <si>
    <t>Media aritmética</t>
  </si>
  <si>
    <t>Moda</t>
  </si>
  <si>
    <t>Datos para la reflexión</t>
  </si>
  <si>
    <t>Interpretación</t>
  </si>
  <si>
    <t>Coeficiente de asimetría</t>
  </si>
  <si>
    <t>Día con mayor uso más frecuente</t>
  </si>
  <si>
    <t>Fue el día más repetido entre las respuestas (37 casos).</t>
  </si>
  <si>
    <t>Curtosis</t>
  </si>
  <si>
    <t>Aplicación más utilizada</t>
  </si>
  <si>
    <t>La moda de la variable app más usada es Instagram (41 casos).</t>
  </si>
  <si>
    <t>Varianza</t>
  </si>
  <si>
    <t>¿Alguna medida supera 3 horas?</t>
  </si>
  <si>
    <t>Sí</t>
  </si>
  <si>
    <t>La media de pantalla es 5.63 horas, superior a 3 horas.</t>
  </si>
  <si>
    <t>Desvío estándar</t>
  </si>
  <si>
    <t>Coeficiente de variación</t>
  </si>
  <si>
    <t>Q1</t>
  </si>
  <si>
    <t>Q3</t>
  </si>
  <si>
    <t>D3</t>
  </si>
  <si>
    <t>D4</t>
  </si>
  <si>
    <t>D9</t>
  </si>
  <si>
    <t>P23</t>
  </si>
  <si>
    <t>P75</t>
  </si>
  <si>
    <t>P97</t>
  </si>
  <si>
    <t>Tabla completa de frecuencias - Horas promedio de pantalla por día</t>
  </si>
  <si>
    <t>Clase</t>
  </si>
  <si>
    <t>Límite inferior</t>
  </si>
  <si>
    <t>Límite superior</t>
  </si>
  <si>
    <t>Intervalo</t>
  </si>
  <si>
    <t>fi</t>
  </si>
  <si>
    <t>Fi</t>
  </si>
  <si>
    <t>fri</t>
  </si>
  <si>
    <t>Fri</t>
  </si>
  <si>
    <t>pi %</t>
  </si>
  <si>
    <t>Pi %</t>
  </si>
  <si>
    <t>Símbolo</t>
  </si>
  <si>
    <t>f₂</t>
  </si>
  <si>
    <t>f₅</t>
  </si>
  <si>
    <t>f₈</t>
  </si>
  <si>
    <t>F₄</t>
  </si>
  <si>
    <t>F₇</t>
  </si>
  <si>
    <t>F₁₀</t>
  </si>
  <si>
    <t>p₃</t>
  </si>
  <si>
    <t>p₆</t>
  </si>
  <si>
    <t>p₉</t>
  </si>
  <si>
    <t>P₈</t>
  </si>
  <si>
    <t>P₁₂</t>
  </si>
  <si>
    <t>Total</t>
  </si>
  <si>
    <t>Regresión lineal - Redes sociales y rendimiento académico</t>
  </si>
  <si>
    <t>Variable independiente (x)</t>
  </si>
  <si>
    <t>Horas promedio de redes sociales por día</t>
  </si>
  <si>
    <t>Horas redes sociales (x)</t>
  </si>
  <si>
    <t>Rendimiento académico (y)</t>
  </si>
  <si>
    <t>Recta de regresión</t>
  </si>
  <si>
    <t>Pendiente</t>
  </si>
  <si>
    <t>Coeficiente de correlación r</t>
  </si>
  <si>
    <t>Coeficiente de determinación R²</t>
  </si>
  <si>
    <t>Interpretación general</t>
  </si>
  <si>
    <t>La relación observada es negativa: a mayor cantidad de horas en redes sociales, el rendimiento académico tiende a disminuir en esta muestra.</t>
  </si>
  <si>
    <t>Horas de redes sociales por día</t>
  </si>
  <si>
    <t>Tabla completa de frecuencias - Base de datos proporcionada por la cátedra</t>
  </si>
  <si>
    <t>xi (horas/día)</t>
  </si>
  <si>
    <t>Promedio de horas de redes sociales por día.</t>
  </si>
  <si>
    <t>El 50% de la base se ubica por debajo o igual a este valor.</t>
  </si>
  <si>
    <t>Valor que más se repite.</t>
  </si>
  <si>
    <t>Dispersión cuadrática promedio muestral.</t>
  </si>
  <si>
    <t>Alejamiento promedio respecto de la media.</t>
  </si>
  <si>
    <t>Variabilidad relativa respecto de la media.</t>
  </si>
  <si>
    <t>Asimetría</t>
  </si>
  <si>
    <t>Indica inclinación de la distribución.</t>
  </si>
  <si>
    <t>Indica concentración o achatamiento de los datos.</t>
  </si>
  <si>
    <t>TOTAL</t>
  </si>
  <si>
    <t>Contrastación de datos - Muestra propia vs Base de la cátedra</t>
  </si>
  <si>
    <t>Muestra propia</t>
  </si>
  <si>
    <t>Base de la cátedra</t>
  </si>
  <si>
    <t>Diferencia</t>
  </si>
  <si>
    <t>Cantidad de casos</t>
  </si>
  <si>
    <t>La base de la cátedra contiene mayor cantidad de registros.</t>
  </si>
  <si>
    <t>Media de horas de redes sociales por día</t>
  </si>
  <si>
    <t>La base de la cátedra presenta un promedio mayor.</t>
  </si>
  <si>
    <t>Compara el valor central de ambas bases.</t>
  </si>
  <si>
    <t>Permite comparar la dispersión de los datos.</t>
  </si>
  <si>
    <t>Coeficiente de correlación lineal</t>
  </si>
  <si>
    <t>La relación negativa es más fuerte en la base de la cátedra.</t>
  </si>
  <si>
    <t>Recta de regresión base cátedra</t>
  </si>
  <si>
    <t>y = -0.219x + 8.057</t>
  </si>
  <si>
    <t>-0.583</t>
  </si>
  <si>
    <t>0.340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</si>
</sst>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10"/>
      <color rgb="FFFFFFFF"/>
      <name val="Arial"/>
    </font>
    <font>
      <b/>
      <sz val="16"/>
      <color rgb="FFFFFFFF"/>
      <name val="Carlito"/>
    </font>
    <font>
      <b/>
      <sz val="11"/>
      <color rgb="FFFFFFFF"/>
      <name val="Arial"/>
    </font>
    <font>
      <sz val="11"/>
      <name val="Arial"/>
    </font>
    <font>
      <b/>
      <sz val="11"/>
      <name val="Carlito"/>
    </font>
    <font>
      <b/>
      <sz val="14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2F6FA"/>
      </patternFill>
    </fill>
    <fill>
      <patternFill patternType="solid">
        <fgColor rgb="FF123456"/>
      </patternFill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  <xf numFmtId="2" fontId="0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/>
    <xf numFmtId="10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" fontId="6" fillId="3" borderId="0" xfId="0" applyNumberFormat="1" applyFont="1" applyFill="1" applyBorder="1" applyAlignment="1">
      <alignment horizontal="center"/>
    </xf>
    <xf numFmtId="165" fontId="6" fillId="3" borderId="0" xfId="0" applyNumberFormat="1" applyFont="1" applyFill="1" applyBorder="1" applyAlignment="1">
      <alignment horizontal="center"/>
    </xf>
    <xf numFmtId="2" fontId="6" fillId="3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0" fontId="6" fillId="3" borderId="0" xfId="0" applyNumberFormat="1" applyFont="1" applyFill="1" applyBorder="1" applyAlignment="1">
      <alignment horizontal="left"/>
    </xf>
    <xf numFmtId="0" fontId="6" fillId="3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1" fillId="6" borderId="0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center"/>
    </xf>
    <xf numFmtId="10" fontId="0" fillId="0" borderId="0" xfId="0" applyNumberFormat="1" applyFont="1" applyFill="1" applyBorder="1" applyAlignment="1">
      <alignment wrapText="1"/>
    </xf>
    <xf numFmtId="0" fontId="1" fillId="8" borderId="0" xfId="0" applyNumberFormat="1" applyFont="1" applyFill="1" applyBorder="1" applyAlignment="1">
      <alignment horizontal="center" wrapText="1"/>
    </xf>
    <xf numFmtId="166" fontId="0" fillId="0" borderId="0" xfId="0" applyNumberFormat="1" applyFont="1" applyFill="1" applyBorder="1" applyAlignment="1">
      <alignment wrapText="1"/>
    </xf>
    <xf numFmtId="0" fontId="6" fillId="9" borderId="0" xfId="0" applyNumberFormat="1" applyFont="1" applyFill="1" applyBorder="1" applyAlignment="1">
      <alignment wrapText="1"/>
    </xf>
    <xf numFmtId="166" fontId="6" fillId="9" borderId="0" xfId="0" applyNumberFormat="1" applyFont="1" applyFill="1" applyBorder="1" applyAlignment="1">
      <alignment wrapText="1"/>
    </xf>
    <xf numFmtId="2" fontId="6" fillId="9" borderId="0" xfId="0" applyNumberFormat="1" applyFont="1" applyFill="1" applyBorder="1" applyAlignment="1">
      <alignment wrapText="1"/>
    </xf>
    <xf numFmtId="0" fontId="0" fillId="9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7" fillId="4" borderId="0" xfId="0" applyNumberFormat="1" applyFont="1" applyFill="1" applyBorder="1" applyAlignment="1">
      <alignment horizontal="center" vertical="center" wrapText="1"/>
    </xf>
    <xf numFmtId="2" fontId="3" fillId="4" borderId="0" xfId="0" applyNumberFormat="1" applyFont="1" applyFill="1" applyBorder="1" applyAlignment="1">
      <alignment horizontal="center" vertical="center" wrapText="1"/>
    </xf>
    <xf numFmtId="0" fontId="7" fillId="7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Histograma - Horas promedio de pantalla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 absoluta</c:v>
          </c:tx>
          <c:invertIfNegative val="1"/>
          <c:cat>
            <c:strLit>
              <c:ptCount val="12"/>
              <c:pt idx="0">
                <c:v>0 a menos de 1</c:v>
              </c:pt>
              <c:pt idx="1">
                <c:v>1 a menos de 2</c:v>
              </c:pt>
              <c:pt idx="2">
                <c:v>2 a menos de 3</c:v>
              </c:pt>
              <c:pt idx="3">
                <c:v>3 a menos de 4</c:v>
              </c:pt>
              <c:pt idx="4">
                <c:v>4 a menos de 5</c:v>
              </c:pt>
              <c:pt idx="5">
                <c:v>5 a menos de 6</c:v>
              </c:pt>
              <c:pt idx="6">
                <c:v>6 a menos de 7</c:v>
              </c:pt>
              <c:pt idx="7">
                <c:v>7 a menos de 8</c:v>
              </c:pt>
              <c:pt idx="8">
                <c:v>8 a menos de 9</c:v>
              </c:pt>
              <c:pt idx="9">
                <c:v>9 a menos de 10</c:v>
              </c:pt>
              <c:pt idx="10">
                <c:v>10 a menos de 11</c:v>
              </c:pt>
              <c:pt idx="11">
                <c:v>11 a 12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21</c:v>
              </c:pt>
              <c:pt idx="3">
                <c:v>32</c:v>
              </c:pt>
              <c:pt idx="4">
                <c:v>22</c:v>
              </c:pt>
              <c:pt idx="5">
                <c:v>30</c:v>
              </c:pt>
              <c:pt idx="6">
                <c:v>38</c:v>
              </c:pt>
              <c:pt idx="7">
                <c:v>23</c:v>
              </c:pt>
              <c:pt idx="8">
                <c:v>19</c:v>
              </c:pt>
              <c:pt idx="9">
                <c:v>13</c:v>
              </c:pt>
              <c:pt idx="10">
                <c:v>1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FD5-49A4-8F90-C1B662643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Intervalos de 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Cantidad de personas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Diagrama de dispersión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Encuestados</c:v>
          </c:tx>
          <c:xVal>
            <c:numLit>
              <c:ptCount val="0"/>
            </c:numLit>
          </c:xVal>
          <c:yVal>
            <c:numLit>
              <c:formatCode>General</c:formatCode>
              <c:ptCount val="200"/>
              <c:pt idx="0">
                <c:v>7</c:v>
              </c:pt>
              <c:pt idx="1">
                <c:v>5</c:v>
              </c:pt>
              <c:pt idx="2">
                <c:v>10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6</c:v>
              </c:pt>
              <c:pt idx="7">
                <c:v>6</c:v>
              </c:pt>
              <c:pt idx="8">
                <c:v>8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7</c:v>
              </c:pt>
              <c:pt idx="13">
                <c:v>7</c:v>
              </c:pt>
              <c:pt idx="14">
                <c:v>6</c:v>
              </c:pt>
              <c:pt idx="15">
                <c:v>8</c:v>
              </c:pt>
              <c:pt idx="16">
                <c:v>3</c:v>
              </c:pt>
              <c:pt idx="17">
                <c:v>5</c:v>
              </c:pt>
              <c:pt idx="18">
                <c:v>5</c:v>
              </c:pt>
              <c:pt idx="19">
                <c:v>6</c:v>
              </c:pt>
              <c:pt idx="20">
                <c:v>5</c:v>
              </c:pt>
              <c:pt idx="21">
                <c:v>7</c:v>
              </c:pt>
              <c:pt idx="22">
                <c:v>7</c:v>
              </c:pt>
              <c:pt idx="23">
                <c:v>7</c:v>
              </c:pt>
              <c:pt idx="24">
                <c:v>7</c:v>
              </c:pt>
              <c:pt idx="25">
                <c:v>6</c:v>
              </c:pt>
              <c:pt idx="26">
                <c:v>7</c:v>
              </c:pt>
              <c:pt idx="27">
                <c:v>5</c:v>
              </c:pt>
              <c:pt idx="28">
                <c:v>6</c:v>
              </c:pt>
              <c:pt idx="29">
                <c:v>5</c:v>
              </c:pt>
              <c:pt idx="30">
                <c:v>6</c:v>
              </c:pt>
              <c:pt idx="31">
                <c:v>5</c:v>
              </c:pt>
              <c:pt idx="32">
                <c:v>5</c:v>
              </c:pt>
              <c:pt idx="33">
                <c:v>7</c:v>
              </c:pt>
              <c:pt idx="34">
                <c:v>5</c:v>
              </c:pt>
              <c:pt idx="35">
                <c:v>6</c:v>
              </c:pt>
              <c:pt idx="36">
                <c:v>7</c:v>
              </c:pt>
              <c:pt idx="37">
                <c:v>6</c:v>
              </c:pt>
              <c:pt idx="38">
                <c:v>7</c:v>
              </c:pt>
              <c:pt idx="39">
                <c:v>6</c:v>
              </c:pt>
              <c:pt idx="40">
                <c:v>4</c:v>
              </c:pt>
              <c:pt idx="41">
                <c:v>5</c:v>
              </c:pt>
              <c:pt idx="42">
                <c:v>7</c:v>
              </c:pt>
              <c:pt idx="43">
                <c:v>4</c:v>
              </c:pt>
              <c:pt idx="44">
                <c:v>5</c:v>
              </c:pt>
              <c:pt idx="45">
                <c:v>4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6</c:v>
              </c:pt>
              <c:pt idx="51">
                <c:v>4</c:v>
              </c:pt>
              <c:pt idx="52">
                <c:v>6</c:v>
              </c:pt>
              <c:pt idx="53">
                <c:v>8</c:v>
              </c:pt>
              <c:pt idx="54">
                <c:v>6</c:v>
              </c:pt>
              <c:pt idx="55">
                <c:v>9</c:v>
              </c:pt>
              <c:pt idx="56">
                <c:v>7</c:v>
              </c:pt>
              <c:pt idx="57">
                <c:v>7</c:v>
              </c:pt>
              <c:pt idx="58">
                <c:v>9</c:v>
              </c:pt>
              <c:pt idx="59">
                <c:v>6</c:v>
              </c:pt>
              <c:pt idx="60">
                <c:v>6</c:v>
              </c:pt>
              <c:pt idx="61">
                <c:v>8</c:v>
              </c:pt>
              <c:pt idx="62">
                <c:v>9</c:v>
              </c:pt>
              <c:pt idx="63">
                <c:v>6</c:v>
              </c:pt>
              <c:pt idx="64">
                <c:v>6</c:v>
              </c:pt>
              <c:pt idx="65">
                <c:v>7</c:v>
              </c:pt>
              <c:pt idx="66">
                <c:v>7</c:v>
              </c:pt>
              <c:pt idx="67">
                <c:v>6</c:v>
              </c:pt>
              <c:pt idx="68">
                <c:v>7</c:v>
              </c:pt>
              <c:pt idx="69">
                <c:v>7</c:v>
              </c:pt>
              <c:pt idx="70">
                <c:v>6</c:v>
              </c:pt>
              <c:pt idx="71">
                <c:v>5</c:v>
              </c:pt>
              <c:pt idx="72">
                <c:v>4</c:v>
              </c:pt>
              <c:pt idx="73">
                <c:v>8</c:v>
              </c:pt>
              <c:pt idx="74">
                <c:v>7</c:v>
              </c:pt>
              <c:pt idx="75">
                <c:v>4</c:v>
              </c:pt>
              <c:pt idx="76">
                <c:v>6</c:v>
              </c:pt>
              <c:pt idx="77">
                <c:v>5</c:v>
              </c:pt>
              <c:pt idx="78">
                <c:v>8</c:v>
              </c:pt>
              <c:pt idx="79">
                <c:v>5</c:v>
              </c:pt>
              <c:pt idx="80">
                <c:v>7</c:v>
              </c:pt>
              <c:pt idx="81">
                <c:v>6</c:v>
              </c:pt>
              <c:pt idx="82">
                <c:v>6</c:v>
              </c:pt>
              <c:pt idx="83">
                <c:v>5</c:v>
              </c:pt>
              <c:pt idx="84">
                <c:v>4</c:v>
              </c:pt>
              <c:pt idx="85">
                <c:v>4</c:v>
              </c:pt>
              <c:pt idx="86">
                <c:v>9</c:v>
              </c:pt>
              <c:pt idx="87">
                <c:v>3</c:v>
              </c:pt>
              <c:pt idx="88">
                <c:v>7</c:v>
              </c:pt>
              <c:pt idx="89">
                <c:v>7</c:v>
              </c:pt>
              <c:pt idx="90">
                <c:v>7</c:v>
              </c:pt>
              <c:pt idx="91">
                <c:v>5</c:v>
              </c:pt>
              <c:pt idx="92">
                <c:v>7</c:v>
              </c:pt>
              <c:pt idx="93">
                <c:v>1</c:v>
              </c:pt>
              <c:pt idx="94">
                <c:v>9</c:v>
              </c:pt>
              <c:pt idx="95">
                <c:v>1</c:v>
              </c:pt>
              <c:pt idx="96">
                <c:v>10</c:v>
              </c:pt>
              <c:pt idx="97">
                <c:v>2</c:v>
              </c:pt>
              <c:pt idx="98">
                <c:v>2</c:v>
              </c:pt>
              <c:pt idx="99">
                <c:v>9</c:v>
              </c:pt>
              <c:pt idx="100">
                <c:v>4</c:v>
              </c:pt>
              <c:pt idx="101">
                <c:v>10</c:v>
              </c:pt>
              <c:pt idx="102">
                <c:v>5</c:v>
              </c:pt>
              <c:pt idx="103">
                <c:v>10</c:v>
              </c:pt>
              <c:pt idx="104">
                <c:v>5</c:v>
              </c:pt>
              <c:pt idx="105">
                <c:v>10</c:v>
              </c:pt>
              <c:pt idx="106">
                <c:v>6</c:v>
              </c:pt>
              <c:pt idx="107">
                <c:v>5</c:v>
              </c:pt>
              <c:pt idx="108">
                <c:v>10</c:v>
              </c:pt>
              <c:pt idx="109">
                <c:v>2</c:v>
              </c:pt>
              <c:pt idx="110">
                <c:v>10</c:v>
              </c:pt>
              <c:pt idx="111">
                <c:v>10</c:v>
              </c:pt>
              <c:pt idx="112">
                <c:v>7</c:v>
              </c:pt>
              <c:pt idx="113">
                <c:v>6</c:v>
              </c:pt>
              <c:pt idx="114">
                <c:v>9</c:v>
              </c:pt>
              <c:pt idx="115">
                <c:v>8</c:v>
              </c:pt>
              <c:pt idx="116">
                <c:v>4</c:v>
              </c:pt>
              <c:pt idx="117">
                <c:v>5</c:v>
              </c:pt>
              <c:pt idx="118">
                <c:v>1</c:v>
              </c:pt>
              <c:pt idx="119">
                <c:v>6</c:v>
              </c:pt>
              <c:pt idx="120">
                <c:v>7</c:v>
              </c:pt>
              <c:pt idx="121">
                <c:v>1</c:v>
              </c:pt>
              <c:pt idx="122">
                <c:v>2</c:v>
              </c:pt>
              <c:pt idx="123">
                <c:v>3</c:v>
              </c:pt>
              <c:pt idx="124">
                <c:v>9</c:v>
              </c:pt>
              <c:pt idx="125">
                <c:v>1</c:v>
              </c:pt>
              <c:pt idx="126">
                <c:v>4</c:v>
              </c:pt>
              <c:pt idx="127">
                <c:v>3</c:v>
              </c:pt>
              <c:pt idx="128">
                <c:v>4</c:v>
              </c:pt>
              <c:pt idx="129">
                <c:v>1</c:v>
              </c:pt>
              <c:pt idx="130">
                <c:v>1</c:v>
              </c:pt>
              <c:pt idx="131">
                <c:v>4</c:v>
              </c:pt>
              <c:pt idx="132">
                <c:v>7</c:v>
              </c:pt>
              <c:pt idx="133">
                <c:v>1</c:v>
              </c:pt>
              <c:pt idx="134">
                <c:v>3</c:v>
              </c:pt>
              <c:pt idx="135">
                <c:v>4</c:v>
              </c:pt>
              <c:pt idx="136">
                <c:v>8</c:v>
              </c:pt>
              <c:pt idx="137">
                <c:v>1</c:v>
              </c:pt>
              <c:pt idx="138">
                <c:v>9</c:v>
              </c:pt>
              <c:pt idx="139">
                <c:v>7</c:v>
              </c:pt>
              <c:pt idx="140">
                <c:v>7</c:v>
              </c:pt>
              <c:pt idx="141">
                <c:v>6</c:v>
              </c:pt>
              <c:pt idx="142">
                <c:v>1</c:v>
              </c:pt>
              <c:pt idx="143">
                <c:v>9</c:v>
              </c:pt>
              <c:pt idx="144">
                <c:v>2</c:v>
              </c:pt>
              <c:pt idx="145">
                <c:v>9</c:v>
              </c:pt>
              <c:pt idx="146">
                <c:v>1</c:v>
              </c:pt>
              <c:pt idx="147">
                <c:v>6</c:v>
              </c:pt>
              <c:pt idx="148">
                <c:v>8</c:v>
              </c:pt>
              <c:pt idx="149">
                <c:v>5</c:v>
              </c:pt>
              <c:pt idx="150">
                <c:v>6</c:v>
              </c:pt>
              <c:pt idx="151">
                <c:v>4</c:v>
              </c:pt>
              <c:pt idx="152">
                <c:v>6</c:v>
              </c:pt>
              <c:pt idx="153">
                <c:v>9</c:v>
              </c:pt>
              <c:pt idx="154">
                <c:v>7</c:v>
              </c:pt>
              <c:pt idx="155">
                <c:v>5</c:v>
              </c:pt>
              <c:pt idx="156">
                <c:v>9</c:v>
              </c:pt>
              <c:pt idx="157">
                <c:v>1</c:v>
              </c:pt>
              <c:pt idx="158">
                <c:v>9</c:v>
              </c:pt>
              <c:pt idx="159">
                <c:v>6</c:v>
              </c:pt>
              <c:pt idx="160">
                <c:v>3</c:v>
              </c:pt>
              <c:pt idx="161">
                <c:v>2</c:v>
              </c:pt>
              <c:pt idx="162">
                <c:v>7</c:v>
              </c:pt>
              <c:pt idx="163">
                <c:v>8</c:v>
              </c:pt>
              <c:pt idx="164">
                <c:v>4</c:v>
              </c:pt>
              <c:pt idx="165">
                <c:v>9</c:v>
              </c:pt>
              <c:pt idx="166">
                <c:v>4</c:v>
              </c:pt>
              <c:pt idx="167">
                <c:v>5</c:v>
              </c:pt>
              <c:pt idx="168">
                <c:v>2</c:v>
              </c:pt>
              <c:pt idx="169">
                <c:v>1</c:v>
              </c:pt>
              <c:pt idx="170">
                <c:v>7</c:v>
              </c:pt>
              <c:pt idx="171">
                <c:v>3</c:v>
              </c:pt>
              <c:pt idx="172">
                <c:v>9</c:v>
              </c:pt>
              <c:pt idx="173">
                <c:v>2</c:v>
              </c:pt>
              <c:pt idx="174">
                <c:v>1</c:v>
              </c:pt>
              <c:pt idx="175">
                <c:v>2</c:v>
              </c:pt>
              <c:pt idx="176">
                <c:v>9</c:v>
              </c:pt>
              <c:pt idx="177">
                <c:v>5</c:v>
              </c:pt>
              <c:pt idx="178">
                <c:v>2</c:v>
              </c:pt>
              <c:pt idx="179">
                <c:v>9</c:v>
              </c:pt>
              <c:pt idx="180">
                <c:v>6</c:v>
              </c:pt>
              <c:pt idx="181">
                <c:v>8</c:v>
              </c:pt>
              <c:pt idx="182">
                <c:v>6</c:v>
              </c:pt>
              <c:pt idx="183">
                <c:v>9</c:v>
              </c:pt>
              <c:pt idx="184">
                <c:v>5</c:v>
              </c:pt>
              <c:pt idx="185">
                <c:v>1</c:v>
              </c:pt>
              <c:pt idx="186">
                <c:v>3</c:v>
              </c:pt>
              <c:pt idx="187">
                <c:v>5</c:v>
              </c:pt>
              <c:pt idx="188">
                <c:v>4</c:v>
              </c:pt>
              <c:pt idx="189">
                <c:v>2</c:v>
              </c:pt>
              <c:pt idx="190">
                <c:v>5</c:v>
              </c:pt>
              <c:pt idx="191">
                <c:v>2</c:v>
              </c:pt>
              <c:pt idx="192">
                <c:v>4</c:v>
              </c:pt>
              <c:pt idx="193">
                <c:v>10</c:v>
              </c:pt>
              <c:pt idx="194">
                <c:v>7</c:v>
              </c:pt>
              <c:pt idx="195">
                <c:v>6</c:v>
              </c:pt>
              <c:pt idx="196">
                <c:v>7</c:v>
              </c:pt>
              <c:pt idx="197">
                <c:v>2</c:v>
              </c:pt>
              <c:pt idx="198">
                <c:v>2</c:v>
              </c:pt>
              <c:pt idx="199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8AB-410F-B25B-DA26F983C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Frecuencia de horas de redes sociales - Cátedra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</c:v>
          </c:tx>
          <c:invertIfNegative val="1"/>
          <c:cat>
            <c:numRef>
              <c:f>Frecuencias_catedra!$A$4:$A$16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Frecuencias_catedra!$B$4:$B$16</c:f>
              <c:numCache>
                <c:formatCode>General</c:formatCode>
                <c:ptCount val="13"/>
                <c:pt idx="0">
                  <c:v>11</c:v>
                </c:pt>
                <c:pt idx="1">
                  <c:v>18</c:v>
                </c:pt>
                <c:pt idx="2">
                  <c:v>52</c:v>
                </c:pt>
                <c:pt idx="3">
                  <c:v>102</c:v>
                </c:pt>
                <c:pt idx="4">
                  <c:v>92</c:v>
                </c:pt>
                <c:pt idx="5">
                  <c:v>81</c:v>
                </c:pt>
                <c:pt idx="6">
                  <c:v>44</c:v>
                </c:pt>
                <c:pt idx="7">
                  <c:v>45</c:v>
                </c:pt>
                <c:pt idx="8">
                  <c:v>17</c:v>
                </c:pt>
                <c:pt idx="9">
                  <c:v>14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3-4711-ABBD-AA46B5EFB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Comparación de cantidad de casos y media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Comparacion_catedra!$A$4:$A$5</c:f>
              <c:strCache>
                <c:ptCount val="2"/>
                <c:pt idx="0">
                  <c:v>Cantidad de casos</c:v>
                </c:pt>
                <c:pt idx="1">
                  <c:v>Media de horas de redes sociales por día</c:v>
                </c:pt>
              </c:strCache>
            </c:strRef>
          </c:cat>
          <c:val>
            <c:numRef>
              <c:f>Comparacion_catedra!$B$4:$B$5</c:f>
              <c:numCache>
                <c:formatCode>0.000</c:formatCode>
                <c:ptCount val="2"/>
                <c:pt idx="0">
                  <c:v>200</c:v>
                </c:pt>
                <c:pt idx="1">
                  <c:v>3.922499999999999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7-4159-ADB9-833BAB2075E8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Comparacion_catedra!$A$4:$A$5</c:f>
              <c:strCache>
                <c:ptCount val="2"/>
                <c:pt idx="0">
                  <c:v>Cantidad de casos</c:v>
                </c:pt>
                <c:pt idx="1">
                  <c:v>Media de horas de redes sociales por día</c:v>
                </c:pt>
              </c:strCache>
            </c:strRef>
          </c:cat>
          <c:val>
            <c:numRef>
              <c:f>Comparacion_catedra!$C$4:$C$5</c:f>
              <c:numCache>
                <c:formatCode>0.000</c:formatCode>
                <c:ptCount val="2"/>
                <c:pt idx="0">
                  <c:v>490</c:v>
                </c:pt>
                <c:pt idx="1">
                  <c:v>4.4734693877551024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7-4159-ADB9-833BAB207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77000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477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Limpios" displayName="TablaDatosLimpios" ref="A1:N201">
  <tableColumns count="14">
    <tableColumn id="1" xr3:uid="{00000000-0010-0000-0000-000001000000}" name="Encuestado"/>
    <tableColumn id="2" xr3:uid="{00000000-0010-0000-0000-000002000000}" name="Edad"/>
    <tableColumn id="3" xr3:uid="{00000000-0010-0000-0000-000003000000}" name="Dispositivo"/>
    <tableColumn id="4" xr3:uid="{00000000-0010-0000-0000-000004000000}" name="Horas pantalla promedio"/>
    <tableColumn id="5" xr3:uid="{00000000-0010-0000-0000-000005000000}" name="Día mayor uso"/>
    <tableColumn id="6" xr3:uid="{00000000-0010-0000-0000-000006000000}" name="Horas día mayor uso"/>
    <tableColumn id="7" xr3:uid="{00000000-0010-0000-0000-000007000000}" name="App más usada"/>
    <tableColumn id="8" xr3:uid="{00000000-0010-0000-0000-000008000000}" name="Otra app"/>
    <tableColumn id="9" xr3:uid="{00000000-0010-0000-0000-000009000000}" name="Horas redes sociales"/>
    <tableColumn id="10" xr3:uid="{00000000-0010-0000-0000-00000A000000}" name="Rendimiento académico"/>
    <tableColumn id="11" xr3:uid="{00000000-0010-0000-0000-00000B000000}" name="Afecta concentración"/>
    <tableColumn id="12" xr3:uid="{00000000-0010-0000-0000-00000C000000}" name="Cuesta desconectarse"/>
    <tableColumn id="13" xr3:uid="{00000000-0010-0000-0000-00000D000000}" name="Usa celular antes de dormir"/>
    <tableColumn id="14" xr3:uid="{00000000-0010-0000-0000-00000E000000}" name="Observaciones limpiez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evision" displayName="TablaRevision" ref="A1:P100">
  <tableColumns count="16">
    <tableColumn id="1" xr3:uid="{00000000-0010-0000-0100-000001000000}" name="Fila original"/>
    <tableColumn id="2" xr3:uid="{00000000-0010-0000-0100-000002000000}" name="Estado"/>
    <tableColumn id="3" xr3:uid="{00000000-0010-0000-0100-000003000000}" name="Marca temporal"/>
    <tableColumn id="4" xr3:uid="{00000000-0010-0000-0100-000004000000}" name="Edad"/>
    <tableColumn id="5" xr3:uid="{00000000-0010-0000-0100-000005000000}" name="Dispositivo"/>
    <tableColumn id="6" xr3:uid="{00000000-0010-0000-0100-000006000000}" name="Horas pantalla promedio"/>
    <tableColumn id="7" xr3:uid="{00000000-0010-0000-0100-000007000000}" name="Día mayor uso"/>
    <tableColumn id="8" xr3:uid="{00000000-0010-0000-0100-000008000000}" name="Horas día mayor uso"/>
    <tableColumn id="9" xr3:uid="{00000000-0010-0000-0100-000009000000}" name="App más usada"/>
    <tableColumn id="10" xr3:uid="{00000000-0010-0000-0100-00000A000000}" name="Otra app"/>
    <tableColumn id="11" xr3:uid="{00000000-0010-0000-0100-00000B000000}" name="Horas redes sociales"/>
    <tableColumn id="12" xr3:uid="{00000000-0010-0000-0100-00000C000000}" name="Rendimiento académico"/>
    <tableColumn id="13" xr3:uid="{00000000-0010-0000-0100-00000D000000}" name="Afecta concentración"/>
    <tableColumn id="14" xr3:uid="{00000000-0010-0000-0100-00000E000000}" name="Cuesta desconectarse"/>
    <tableColumn id="15" xr3:uid="{00000000-0010-0000-0100-00000F000000}" name="Usa celular antes de dormir"/>
    <tableColumn id="16" xr3:uid="{00000000-0010-0000-0100-000010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DatosOriginales" displayName="TablaDatosOriginales" ref="A1:M298">
  <tableColumns count="13">
    <tableColumn id="1" xr3:uid="{00000000-0010-0000-0200-000001000000}" name="Marca temporal"/>
    <tableColumn id="2" xr3:uid="{00000000-0010-0000-0200-000002000000}" name="Edad"/>
    <tableColumn id="3" xr3:uid="{00000000-0010-0000-0200-000003000000}" name="Dispositivo"/>
    <tableColumn id="4" xr3:uid="{00000000-0010-0000-0200-000004000000}" name="Horas pantalla promedio"/>
    <tableColumn id="5" xr3:uid="{00000000-0010-0000-0200-000005000000}" name="Día mayor uso"/>
    <tableColumn id="6" xr3:uid="{00000000-0010-0000-0200-000006000000}" name="Horas día mayor uso"/>
    <tableColumn id="7" xr3:uid="{00000000-0010-0000-0200-000007000000}" name="App más usada"/>
    <tableColumn id="8" xr3:uid="{00000000-0010-0000-0200-000008000000}" name="Otra app"/>
    <tableColumn id="9" xr3:uid="{00000000-0010-0000-0200-000009000000}" name="Horas redes sociales"/>
    <tableColumn id="10" xr3:uid="{00000000-0010-0000-0200-00000A000000}" name="Rendimiento académico"/>
    <tableColumn id="11" xr3:uid="{00000000-0010-0000-0200-00000B000000}" name="Afecta concentración"/>
    <tableColumn id="12" xr3:uid="{00000000-0010-0000-0200-00000C000000}" name="Cuesta desconectarse"/>
    <tableColumn id="13" xr3:uid="{00000000-0010-0000-0200-00000D000000}" name="Usa celular antes de dorm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4" customWidth="1"/>
    <col min="4" max="4" width="20" customWidth="1"/>
    <col min="5" max="6" width="18" customWidth="1"/>
    <col min="7" max="7" width="26" customWidth="1"/>
    <col min="8" max="8" width="18" customWidth="1"/>
    <col min="9" max="9" width="20" customWidth="1"/>
    <col min="10" max="10" width="18" customWidth="1"/>
    <col min="11" max="13" width="25" customWidth="1"/>
    <col min="14" max="14" width="42" customWidth="1"/>
  </cols>
  <sheetData>
    <row r="1" spans="1:14" ht="25.65" customHeigh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spans="1:14" x14ac:dyDescent="0.3">
      <c r="A2" s="4">
        <v>1</v>
      </c>
      <c r="B2" s="4">
        <v>20</v>
      </c>
      <c r="C2" s="4" t="s">
        <v>14</v>
      </c>
      <c r="D2" s="5">
        <v>4</v>
      </c>
      <c r="E2" s="4" t="s">
        <v>15</v>
      </c>
      <c r="F2" s="5">
        <v>6</v>
      </c>
      <c r="G2" s="4" t="s">
        <v>16</v>
      </c>
      <c r="H2" s="4" t="s">
        <v>17</v>
      </c>
      <c r="I2" s="5">
        <v>3</v>
      </c>
      <c r="J2" s="6">
        <v>7</v>
      </c>
      <c r="K2" s="4" t="s">
        <v>18</v>
      </c>
      <c r="L2" s="4" t="s">
        <v>19</v>
      </c>
      <c r="M2" s="4" t="s">
        <v>20</v>
      </c>
      <c r="N2" s="4" t="s">
        <v>21</v>
      </c>
    </row>
    <row r="3" spans="1:14" ht="28.8" x14ac:dyDescent="0.3">
      <c r="A3" s="4">
        <v>2</v>
      </c>
      <c r="B3" s="4">
        <v>22</v>
      </c>
      <c r="C3" s="4" t="s">
        <v>22</v>
      </c>
      <c r="D3" s="5">
        <v>6.2</v>
      </c>
      <c r="E3" s="4" t="s">
        <v>23</v>
      </c>
      <c r="F3" s="5">
        <v>12</v>
      </c>
      <c r="G3" s="4" t="s">
        <v>24</v>
      </c>
      <c r="H3" s="4"/>
      <c r="I3" s="5">
        <v>3.5</v>
      </c>
      <c r="J3" s="6">
        <v>5</v>
      </c>
      <c r="K3" s="4" t="s">
        <v>18</v>
      </c>
      <c r="L3" s="4" t="s">
        <v>25</v>
      </c>
      <c r="M3" s="4" t="s">
        <v>20</v>
      </c>
      <c r="N3" s="4" t="s">
        <v>26</v>
      </c>
    </row>
    <row r="4" spans="1:14" x14ac:dyDescent="0.3">
      <c r="A4" s="4">
        <v>3</v>
      </c>
      <c r="B4" s="4">
        <v>20</v>
      </c>
      <c r="C4" s="4" t="s">
        <v>22</v>
      </c>
      <c r="D4" s="5">
        <v>5</v>
      </c>
      <c r="E4" s="4" t="s">
        <v>27</v>
      </c>
      <c r="F4" s="5">
        <v>9</v>
      </c>
      <c r="G4" s="4" t="s">
        <v>28</v>
      </c>
      <c r="H4" s="4"/>
      <c r="I4" s="5">
        <v>5</v>
      </c>
      <c r="J4" s="6">
        <v>10</v>
      </c>
      <c r="K4" s="4" t="s">
        <v>29</v>
      </c>
      <c r="L4" s="4" t="s">
        <v>30</v>
      </c>
      <c r="M4" s="4" t="s">
        <v>20</v>
      </c>
      <c r="N4" s="4" t="s">
        <v>31</v>
      </c>
    </row>
    <row r="5" spans="1:14" x14ac:dyDescent="0.3">
      <c r="A5" s="4">
        <v>4</v>
      </c>
      <c r="B5" s="4">
        <v>25</v>
      </c>
      <c r="C5" s="4" t="s">
        <v>22</v>
      </c>
      <c r="D5" s="5">
        <v>4</v>
      </c>
      <c r="E5" s="4" t="s">
        <v>23</v>
      </c>
      <c r="F5" s="5">
        <v>6</v>
      </c>
      <c r="G5" s="4" t="s">
        <v>32</v>
      </c>
      <c r="H5" s="4"/>
      <c r="I5" s="5">
        <v>5</v>
      </c>
      <c r="J5" s="6">
        <v>7</v>
      </c>
      <c r="K5" s="4" t="s">
        <v>33</v>
      </c>
      <c r="L5" s="4" t="s">
        <v>25</v>
      </c>
      <c r="M5" s="4" t="s">
        <v>20</v>
      </c>
      <c r="N5" s="4" t="s">
        <v>21</v>
      </c>
    </row>
    <row r="6" spans="1:14" x14ac:dyDescent="0.3">
      <c r="A6" s="4">
        <v>5</v>
      </c>
      <c r="B6" s="4">
        <v>25</v>
      </c>
      <c r="C6" s="4" t="s">
        <v>22</v>
      </c>
      <c r="D6" s="5">
        <v>2.2000000000000002</v>
      </c>
      <c r="E6" s="4" t="s">
        <v>34</v>
      </c>
      <c r="F6" s="5">
        <v>5.0999999999999996</v>
      </c>
      <c r="G6" s="4" t="s">
        <v>35</v>
      </c>
      <c r="H6" s="4"/>
      <c r="I6" s="5">
        <v>1.4</v>
      </c>
      <c r="J6" s="6">
        <v>7</v>
      </c>
      <c r="K6" s="4" t="s">
        <v>18</v>
      </c>
      <c r="L6" s="4" t="s">
        <v>19</v>
      </c>
      <c r="M6" s="4" t="s">
        <v>36</v>
      </c>
      <c r="N6" s="4" t="s">
        <v>21</v>
      </c>
    </row>
    <row r="7" spans="1:14" x14ac:dyDescent="0.3">
      <c r="A7" s="4">
        <v>6</v>
      </c>
      <c r="B7" s="4">
        <v>20</v>
      </c>
      <c r="C7" s="4" t="s">
        <v>22</v>
      </c>
      <c r="D7" s="5">
        <v>4</v>
      </c>
      <c r="E7" s="4" t="s">
        <v>37</v>
      </c>
      <c r="F7" s="5">
        <v>6.3</v>
      </c>
      <c r="G7" s="4" t="s">
        <v>38</v>
      </c>
      <c r="H7" s="4"/>
      <c r="I7" s="5">
        <v>3.8</v>
      </c>
      <c r="J7" s="6">
        <v>7</v>
      </c>
      <c r="K7" s="4" t="s">
        <v>39</v>
      </c>
      <c r="L7" s="4" t="s">
        <v>30</v>
      </c>
      <c r="M7" s="4" t="s">
        <v>36</v>
      </c>
      <c r="N7" s="4" t="s">
        <v>21</v>
      </c>
    </row>
    <row r="8" spans="1:14" x14ac:dyDescent="0.3">
      <c r="A8" s="4">
        <v>7</v>
      </c>
      <c r="B8" s="4">
        <v>31</v>
      </c>
      <c r="C8" s="4" t="s">
        <v>22</v>
      </c>
      <c r="D8" s="5">
        <v>4.0999999999999996</v>
      </c>
      <c r="E8" s="4" t="s">
        <v>15</v>
      </c>
      <c r="F8" s="5">
        <v>5.5</v>
      </c>
      <c r="G8" s="4" t="s">
        <v>28</v>
      </c>
      <c r="H8" s="4"/>
      <c r="I8" s="5">
        <v>3.4</v>
      </c>
      <c r="J8" s="6">
        <v>6</v>
      </c>
      <c r="K8" s="4" t="s">
        <v>33</v>
      </c>
      <c r="L8" s="4" t="s">
        <v>30</v>
      </c>
      <c r="M8" s="4" t="s">
        <v>20</v>
      </c>
      <c r="N8" s="4" t="s">
        <v>21</v>
      </c>
    </row>
    <row r="9" spans="1:14" x14ac:dyDescent="0.3">
      <c r="A9" s="4">
        <v>8</v>
      </c>
      <c r="B9" s="4">
        <v>18</v>
      </c>
      <c r="C9" s="4" t="s">
        <v>40</v>
      </c>
      <c r="D9" s="5">
        <v>5.8</v>
      </c>
      <c r="E9" s="4" t="s">
        <v>27</v>
      </c>
      <c r="F9" s="5">
        <v>7</v>
      </c>
      <c r="G9" s="4" t="s">
        <v>41</v>
      </c>
      <c r="H9" s="4"/>
      <c r="I9" s="5">
        <v>2.9</v>
      </c>
      <c r="J9" s="6">
        <v>6</v>
      </c>
      <c r="K9" s="4" t="s">
        <v>18</v>
      </c>
      <c r="L9" s="4" t="s">
        <v>25</v>
      </c>
      <c r="M9" s="4" t="s">
        <v>36</v>
      </c>
      <c r="N9" s="4" t="s">
        <v>21</v>
      </c>
    </row>
    <row r="10" spans="1:14" ht="28.8" x14ac:dyDescent="0.3">
      <c r="A10" s="4">
        <v>9</v>
      </c>
      <c r="B10" s="4">
        <v>32</v>
      </c>
      <c r="C10" s="4" t="s">
        <v>14</v>
      </c>
      <c r="D10" s="5">
        <v>2.6</v>
      </c>
      <c r="E10" s="4" t="s">
        <v>15</v>
      </c>
      <c r="F10" s="5">
        <v>3.5</v>
      </c>
      <c r="G10" s="4" t="s">
        <v>24</v>
      </c>
      <c r="H10" s="4"/>
      <c r="I10" s="5">
        <v>2</v>
      </c>
      <c r="J10" s="6">
        <v>8</v>
      </c>
      <c r="K10" s="4" t="s">
        <v>18</v>
      </c>
      <c r="L10" s="4" t="s">
        <v>30</v>
      </c>
      <c r="M10" s="4" t="s">
        <v>36</v>
      </c>
      <c r="N10" s="4" t="s">
        <v>21</v>
      </c>
    </row>
    <row r="11" spans="1:14" x14ac:dyDescent="0.3">
      <c r="A11" s="4">
        <v>10</v>
      </c>
      <c r="B11" s="4">
        <v>23</v>
      </c>
      <c r="C11" s="4" t="s">
        <v>14</v>
      </c>
      <c r="D11" s="5">
        <v>6.7</v>
      </c>
      <c r="E11" s="4" t="s">
        <v>34</v>
      </c>
      <c r="F11" s="5">
        <v>9.9</v>
      </c>
      <c r="G11" s="4" t="s">
        <v>41</v>
      </c>
      <c r="H11" s="4"/>
      <c r="I11" s="5">
        <v>1.6</v>
      </c>
      <c r="J11" s="6">
        <v>6</v>
      </c>
      <c r="K11" s="4" t="s">
        <v>18</v>
      </c>
      <c r="L11" s="4" t="s">
        <v>19</v>
      </c>
      <c r="M11" s="4" t="s">
        <v>20</v>
      </c>
      <c r="N11" s="4" t="s">
        <v>21</v>
      </c>
    </row>
    <row r="12" spans="1:14" x14ac:dyDescent="0.3">
      <c r="A12" s="4">
        <v>11</v>
      </c>
      <c r="B12" s="4">
        <v>20</v>
      </c>
      <c r="C12" s="4" t="s">
        <v>22</v>
      </c>
      <c r="D12" s="5">
        <v>5.6</v>
      </c>
      <c r="E12" s="4" t="s">
        <v>27</v>
      </c>
      <c r="F12" s="5">
        <v>8.4</v>
      </c>
      <c r="G12" s="4" t="s">
        <v>32</v>
      </c>
      <c r="H12" s="4"/>
      <c r="I12" s="5">
        <v>1.8</v>
      </c>
      <c r="J12" s="6">
        <v>6</v>
      </c>
      <c r="K12" s="4" t="s">
        <v>18</v>
      </c>
      <c r="L12" s="4" t="s">
        <v>19</v>
      </c>
      <c r="M12" s="4" t="s">
        <v>36</v>
      </c>
      <c r="N12" s="4" t="s">
        <v>21</v>
      </c>
    </row>
    <row r="13" spans="1:14" x14ac:dyDescent="0.3">
      <c r="A13" s="4">
        <v>12</v>
      </c>
      <c r="B13" s="4">
        <v>19</v>
      </c>
      <c r="C13" s="4" t="s">
        <v>14</v>
      </c>
      <c r="D13" s="5">
        <v>5.4</v>
      </c>
      <c r="E13" s="4" t="s">
        <v>23</v>
      </c>
      <c r="F13" s="5">
        <v>7.9</v>
      </c>
      <c r="G13" s="4" t="s">
        <v>32</v>
      </c>
      <c r="H13" s="4"/>
      <c r="I13" s="5">
        <v>2.7</v>
      </c>
      <c r="J13" s="6">
        <v>6</v>
      </c>
      <c r="K13" s="4" t="s">
        <v>18</v>
      </c>
      <c r="L13" s="4" t="s">
        <v>25</v>
      </c>
      <c r="M13" s="4" t="s">
        <v>36</v>
      </c>
      <c r="N13" s="4" t="s">
        <v>21</v>
      </c>
    </row>
    <row r="14" spans="1:14" x14ac:dyDescent="0.3">
      <c r="A14" s="4">
        <v>13</v>
      </c>
      <c r="B14" s="4">
        <v>22</v>
      </c>
      <c r="C14" s="4" t="s">
        <v>14</v>
      </c>
      <c r="D14" s="5">
        <v>5</v>
      </c>
      <c r="E14" s="4" t="s">
        <v>42</v>
      </c>
      <c r="F14" s="5">
        <v>7.8</v>
      </c>
      <c r="G14" s="4" t="s">
        <v>28</v>
      </c>
      <c r="H14" s="4"/>
      <c r="I14" s="5">
        <v>3.5</v>
      </c>
      <c r="J14" s="6">
        <v>7</v>
      </c>
      <c r="K14" s="4" t="s">
        <v>39</v>
      </c>
      <c r="L14" s="4" t="s">
        <v>19</v>
      </c>
      <c r="M14" s="4" t="s">
        <v>30</v>
      </c>
      <c r="N14" s="4" t="s">
        <v>21</v>
      </c>
    </row>
    <row r="15" spans="1:14" x14ac:dyDescent="0.3">
      <c r="A15" s="4">
        <v>14</v>
      </c>
      <c r="B15" s="4">
        <v>17</v>
      </c>
      <c r="C15" s="4" t="s">
        <v>22</v>
      </c>
      <c r="D15" s="5">
        <v>5.6</v>
      </c>
      <c r="E15" s="4" t="s">
        <v>42</v>
      </c>
      <c r="F15" s="5">
        <v>7.8</v>
      </c>
      <c r="G15" s="4" t="s">
        <v>38</v>
      </c>
      <c r="H15" s="4"/>
      <c r="I15" s="5">
        <v>2.9</v>
      </c>
      <c r="J15" s="6">
        <v>7</v>
      </c>
      <c r="K15" s="4" t="s">
        <v>18</v>
      </c>
      <c r="L15" s="4" t="s">
        <v>19</v>
      </c>
      <c r="M15" s="4" t="s">
        <v>30</v>
      </c>
      <c r="N15" s="4" t="s">
        <v>21</v>
      </c>
    </row>
    <row r="16" spans="1:14" x14ac:dyDescent="0.3">
      <c r="A16" s="4">
        <v>15</v>
      </c>
      <c r="B16" s="4">
        <v>22</v>
      </c>
      <c r="C16" s="4" t="s">
        <v>14</v>
      </c>
      <c r="D16" s="5">
        <v>5.0999999999999996</v>
      </c>
      <c r="E16" s="4" t="s">
        <v>37</v>
      </c>
      <c r="F16" s="5">
        <v>8.3000000000000007</v>
      </c>
      <c r="G16" s="4" t="s">
        <v>28</v>
      </c>
      <c r="H16" s="4"/>
      <c r="I16" s="5">
        <v>3.3</v>
      </c>
      <c r="J16" s="6">
        <v>6</v>
      </c>
      <c r="K16" s="4" t="s">
        <v>18</v>
      </c>
      <c r="L16" s="4" t="s">
        <v>25</v>
      </c>
      <c r="M16" s="4" t="s">
        <v>30</v>
      </c>
      <c r="N16" s="4" t="s">
        <v>21</v>
      </c>
    </row>
    <row r="17" spans="1:14" x14ac:dyDescent="0.3">
      <c r="A17" s="4">
        <v>16</v>
      </c>
      <c r="B17" s="4">
        <v>21</v>
      </c>
      <c r="C17" s="4" t="s">
        <v>22</v>
      </c>
      <c r="D17" s="5">
        <v>2.9</v>
      </c>
      <c r="E17" s="4" t="s">
        <v>27</v>
      </c>
      <c r="F17" s="5">
        <v>4.9000000000000004</v>
      </c>
      <c r="G17" s="4" t="s">
        <v>28</v>
      </c>
      <c r="H17" s="4"/>
      <c r="I17" s="5">
        <v>1.7</v>
      </c>
      <c r="J17" s="6">
        <v>8</v>
      </c>
      <c r="K17" s="4" t="s">
        <v>18</v>
      </c>
      <c r="L17" s="4" t="s">
        <v>30</v>
      </c>
      <c r="M17" s="4" t="s">
        <v>20</v>
      </c>
      <c r="N17" s="4" t="s">
        <v>21</v>
      </c>
    </row>
    <row r="18" spans="1:14" x14ac:dyDescent="0.3">
      <c r="A18" s="4">
        <v>17</v>
      </c>
      <c r="B18" s="4">
        <v>20</v>
      </c>
      <c r="C18" s="4" t="s">
        <v>22</v>
      </c>
      <c r="D18" s="5">
        <v>8.3000000000000007</v>
      </c>
      <c r="E18" s="4" t="s">
        <v>23</v>
      </c>
      <c r="F18" s="5">
        <v>11.4</v>
      </c>
      <c r="G18" s="4" t="s">
        <v>43</v>
      </c>
      <c r="H18" s="4"/>
      <c r="I18" s="5">
        <v>7.3</v>
      </c>
      <c r="J18" s="6">
        <v>3</v>
      </c>
      <c r="K18" s="4" t="s">
        <v>33</v>
      </c>
      <c r="L18" s="4" t="s">
        <v>25</v>
      </c>
      <c r="M18" s="4" t="s">
        <v>20</v>
      </c>
      <c r="N18" s="4" t="s">
        <v>21</v>
      </c>
    </row>
    <row r="19" spans="1:14" x14ac:dyDescent="0.3">
      <c r="A19" s="4">
        <v>18</v>
      </c>
      <c r="B19" s="4">
        <v>18</v>
      </c>
      <c r="C19" s="4" t="s">
        <v>22</v>
      </c>
      <c r="D19" s="5">
        <v>7.1</v>
      </c>
      <c r="E19" s="4" t="s">
        <v>34</v>
      </c>
      <c r="F19" s="5">
        <v>8.1</v>
      </c>
      <c r="G19" s="4" t="s">
        <v>28</v>
      </c>
      <c r="H19" s="4"/>
      <c r="I19" s="5">
        <v>5.2</v>
      </c>
      <c r="J19" s="6">
        <v>5</v>
      </c>
      <c r="K19" s="4" t="s">
        <v>18</v>
      </c>
      <c r="L19" s="4" t="s">
        <v>25</v>
      </c>
      <c r="M19" s="4" t="s">
        <v>36</v>
      </c>
      <c r="N19" s="4" t="s">
        <v>21</v>
      </c>
    </row>
    <row r="20" spans="1:14" x14ac:dyDescent="0.3">
      <c r="A20" s="4">
        <v>19</v>
      </c>
      <c r="B20" s="4">
        <v>22</v>
      </c>
      <c r="C20" s="4" t="s">
        <v>22</v>
      </c>
      <c r="D20" s="5">
        <v>7.8</v>
      </c>
      <c r="E20" s="4" t="s">
        <v>37</v>
      </c>
      <c r="F20" s="5">
        <v>9.8000000000000007</v>
      </c>
      <c r="G20" s="4" t="s">
        <v>38</v>
      </c>
      <c r="H20" s="4"/>
      <c r="I20" s="5">
        <v>6.6</v>
      </c>
      <c r="J20" s="6">
        <v>5</v>
      </c>
      <c r="K20" s="4" t="s">
        <v>33</v>
      </c>
      <c r="L20" s="4" t="s">
        <v>25</v>
      </c>
      <c r="M20" s="4" t="s">
        <v>20</v>
      </c>
      <c r="N20" s="4" t="s">
        <v>21</v>
      </c>
    </row>
    <row r="21" spans="1:14" ht="28.8" x14ac:dyDescent="0.3">
      <c r="A21" s="4">
        <v>20</v>
      </c>
      <c r="B21" s="4">
        <v>21</v>
      </c>
      <c r="C21" s="4" t="s">
        <v>14</v>
      </c>
      <c r="D21" s="5">
        <v>7.7</v>
      </c>
      <c r="E21" s="4" t="s">
        <v>42</v>
      </c>
      <c r="F21" s="5">
        <v>10.5</v>
      </c>
      <c r="G21" s="4" t="s">
        <v>24</v>
      </c>
      <c r="H21" s="4"/>
      <c r="I21" s="5">
        <v>4.7</v>
      </c>
      <c r="J21" s="6">
        <v>6</v>
      </c>
      <c r="K21" s="4" t="s">
        <v>33</v>
      </c>
      <c r="L21" s="4" t="s">
        <v>25</v>
      </c>
      <c r="M21" s="4" t="s">
        <v>20</v>
      </c>
      <c r="N21" s="4" t="s">
        <v>21</v>
      </c>
    </row>
    <row r="22" spans="1:14" x14ac:dyDescent="0.3">
      <c r="A22" s="4">
        <v>21</v>
      </c>
      <c r="B22" s="4">
        <v>18</v>
      </c>
      <c r="C22" s="4" t="s">
        <v>22</v>
      </c>
      <c r="D22" s="5">
        <v>8</v>
      </c>
      <c r="E22" s="4" t="s">
        <v>42</v>
      </c>
      <c r="F22" s="5">
        <v>10.7</v>
      </c>
      <c r="G22" s="4" t="s">
        <v>43</v>
      </c>
      <c r="H22" s="4"/>
      <c r="I22" s="5">
        <v>3.6</v>
      </c>
      <c r="J22" s="6">
        <v>5</v>
      </c>
      <c r="K22" s="4" t="s">
        <v>33</v>
      </c>
      <c r="L22" s="4" t="s">
        <v>19</v>
      </c>
      <c r="M22" s="4" t="s">
        <v>20</v>
      </c>
      <c r="N22" s="4" t="s">
        <v>21</v>
      </c>
    </row>
    <row r="23" spans="1:14" x14ac:dyDescent="0.3">
      <c r="A23" s="4">
        <v>22</v>
      </c>
      <c r="B23" s="4">
        <v>19</v>
      </c>
      <c r="C23" s="4" t="s">
        <v>14</v>
      </c>
      <c r="D23" s="5">
        <v>3.8</v>
      </c>
      <c r="E23" s="4" t="s">
        <v>37</v>
      </c>
      <c r="F23" s="5">
        <v>6.2</v>
      </c>
      <c r="G23" s="4" t="s">
        <v>28</v>
      </c>
      <c r="H23" s="4"/>
      <c r="I23" s="5">
        <v>3.4</v>
      </c>
      <c r="J23" s="6">
        <v>7</v>
      </c>
      <c r="K23" s="4" t="s">
        <v>18</v>
      </c>
      <c r="L23" s="4" t="s">
        <v>30</v>
      </c>
      <c r="M23" s="4" t="s">
        <v>30</v>
      </c>
      <c r="N23" s="4" t="s">
        <v>21</v>
      </c>
    </row>
    <row r="24" spans="1:14" x14ac:dyDescent="0.3">
      <c r="A24" s="4">
        <v>23</v>
      </c>
      <c r="B24" s="4">
        <v>22</v>
      </c>
      <c r="C24" s="4" t="s">
        <v>22</v>
      </c>
      <c r="D24" s="5">
        <v>3</v>
      </c>
      <c r="E24" s="4" t="s">
        <v>34</v>
      </c>
      <c r="F24" s="5">
        <v>2.5</v>
      </c>
      <c r="G24" s="4" t="s">
        <v>28</v>
      </c>
      <c r="H24" s="4"/>
      <c r="I24" s="5">
        <v>2</v>
      </c>
      <c r="J24" s="6">
        <v>7</v>
      </c>
      <c r="K24" s="4" t="s">
        <v>39</v>
      </c>
      <c r="L24" s="4" t="s">
        <v>19</v>
      </c>
      <c r="M24" s="4" t="s">
        <v>20</v>
      </c>
      <c r="N24" s="4" t="s">
        <v>21</v>
      </c>
    </row>
    <row r="25" spans="1:14" x14ac:dyDescent="0.3">
      <c r="A25" s="4">
        <v>24</v>
      </c>
      <c r="B25" s="4">
        <v>19</v>
      </c>
      <c r="C25" s="4" t="s">
        <v>22</v>
      </c>
      <c r="D25" s="5">
        <v>2.8</v>
      </c>
      <c r="E25" s="4" t="s">
        <v>44</v>
      </c>
      <c r="F25" s="5">
        <v>5.3</v>
      </c>
      <c r="G25" s="4" t="s">
        <v>43</v>
      </c>
      <c r="H25" s="4"/>
      <c r="I25" s="5">
        <v>1.1000000000000001</v>
      </c>
      <c r="J25" s="6">
        <v>7</v>
      </c>
      <c r="K25" s="4" t="s">
        <v>39</v>
      </c>
      <c r="L25" s="4" t="s">
        <v>19</v>
      </c>
      <c r="M25" s="4" t="s">
        <v>20</v>
      </c>
      <c r="N25" s="4" t="s">
        <v>21</v>
      </c>
    </row>
    <row r="26" spans="1:14" x14ac:dyDescent="0.3">
      <c r="A26" s="4">
        <v>25</v>
      </c>
      <c r="B26" s="4">
        <v>21</v>
      </c>
      <c r="C26" s="4" t="s">
        <v>22</v>
      </c>
      <c r="D26" s="5">
        <v>2.2999999999999998</v>
      </c>
      <c r="E26" s="4" t="s">
        <v>42</v>
      </c>
      <c r="F26" s="5">
        <v>5</v>
      </c>
      <c r="G26" s="4" t="s">
        <v>28</v>
      </c>
      <c r="H26" s="4"/>
      <c r="I26" s="5">
        <v>1.8</v>
      </c>
      <c r="J26" s="6">
        <v>7</v>
      </c>
      <c r="K26" s="4" t="s">
        <v>18</v>
      </c>
      <c r="L26" s="4" t="s">
        <v>30</v>
      </c>
      <c r="M26" s="4" t="s">
        <v>30</v>
      </c>
      <c r="N26" s="4" t="s">
        <v>21</v>
      </c>
    </row>
    <row r="27" spans="1:14" x14ac:dyDescent="0.3">
      <c r="A27" s="4">
        <v>26</v>
      </c>
      <c r="B27" s="4">
        <v>26</v>
      </c>
      <c r="C27" s="4" t="s">
        <v>14</v>
      </c>
      <c r="D27" s="5">
        <v>3.5</v>
      </c>
      <c r="E27" s="4" t="s">
        <v>34</v>
      </c>
      <c r="F27" s="5">
        <v>5.9</v>
      </c>
      <c r="G27" s="4" t="s">
        <v>43</v>
      </c>
      <c r="H27" s="4"/>
      <c r="I27" s="5">
        <v>2.6</v>
      </c>
      <c r="J27" s="6">
        <v>6</v>
      </c>
      <c r="K27" s="4" t="s">
        <v>18</v>
      </c>
      <c r="L27" s="4" t="s">
        <v>30</v>
      </c>
      <c r="M27" s="4" t="s">
        <v>20</v>
      </c>
      <c r="N27" s="4" t="s">
        <v>21</v>
      </c>
    </row>
    <row r="28" spans="1:14" x14ac:dyDescent="0.3">
      <c r="A28" s="4">
        <v>27</v>
      </c>
      <c r="B28" s="4">
        <v>20</v>
      </c>
      <c r="C28" s="4" t="s">
        <v>22</v>
      </c>
      <c r="D28" s="5">
        <v>4.2</v>
      </c>
      <c r="E28" s="4" t="s">
        <v>34</v>
      </c>
      <c r="F28" s="5">
        <v>6.4</v>
      </c>
      <c r="G28" s="4" t="s">
        <v>32</v>
      </c>
      <c r="H28" s="4"/>
      <c r="I28" s="5">
        <v>2.4</v>
      </c>
      <c r="J28" s="6">
        <v>7</v>
      </c>
      <c r="K28" s="4" t="s">
        <v>18</v>
      </c>
      <c r="L28" s="4" t="s">
        <v>19</v>
      </c>
      <c r="M28" s="4" t="s">
        <v>36</v>
      </c>
      <c r="N28" s="4" t="s">
        <v>21</v>
      </c>
    </row>
    <row r="29" spans="1:14" x14ac:dyDescent="0.3">
      <c r="A29" s="4">
        <v>28</v>
      </c>
      <c r="B29" s="4">
        <v>19</v>
      </c>
      <c r="C29" s="4" t="s">
        <v>22</v>
      </c>
      <c r="D29" s="5">
        <v>8.5</v>
      </c>
      <c r="E29" s="4" t="s">
        <v>15</v>
      </c>
      <c r="F29" s="5">
        <v>10.9</v>
      </c>
      <c r="G29" s="4" t="s">
        <v>32</v>
      </c>
      <c r="H29" s="4"/>
      <c r="I29" s="5">
        <v>2.9</v>
      </c>
      <c r="J29" s="6">
        <v>5</v>
      </c>
      <c r="K29" s="4" t="s">
        <v>33</v>
      </c>
      <c r="L29" s="4" t="s">
        <v>25</v>
      </c>
      <c r="M29" s="4" t="s">
        <v>20</v>
      </c>
      <c r="N29" s="4" t="s">
        <v>21</v>
      </c>
    </row>
    <row r="30" spans="1:14" x14ac:dyDescent="0.3">
      <c r="A30" s="4">
        <v>29</v>
      </c>
      <c r="B30" s="4">
        <v>21</v>
      </c>
      <c r="C30" s="4" t="s">
        <v>22</v>
      </c>
      <c r="D30" s="5">
        <v>4.0999999999999996</v>
      </c>
      <c r="E30" s="4" t="s">
        <v>23</v>
      </c>
      <c r="F30" s="5">
        <v>5.8</v>
      </c>
      <c r="G30" s="4" t="s">
        <v>28</v>
      </c>
      <c r="H30" s="4"/>
      <c r="I30" s="5">
        <v>3.7</v>
      </c>
      <c r="J30" s="6">
        <v>6</v>
      </c>
      <c r="K30" s="4" t="s">
        <v>18</v>
      </c>
      <c r="L30" s="4" t="s">
        <v>30</v>
      </c>
      <c r="M30" s="4" t="s">
        <v>30</v>
      </c>
      <c r="N30" s="4" t="s">
        <v>21</v>
      </c>
    </row>
    <row r="31" spans="1:14" x14ac:dyDescent="0.3">
      <c r="A31" s="4">
        <v>30</v>
      </c>
      <c r="B31" s="4">
        <v>20</v>
      </c>
      <c r="C31" s="4" t="s">
        <v>22</v>
      </c>
      <c r="D31" s="5">
        <v>6.3</v>
      </c>
      <c r="E31" s="4" t="s">
        <v>23</v>
      </c>
      <c r="F31" s="5">
        <v>8.5</v>
      </c>
      <c r="G31" s="4" t="s">
        <v>32</v>
      </c>
      <c r="H31" s="4"/>
      <c r="I31" s="5">
        <v>4.2</v>
      </c>
      <c r="J31" s="6">
        <v>5</v>
      </c>
      <c r="K31" s="4" t="s">
        <v>18</v>
      </c>
      <c r="L31" s="4" t="s">
        <v>19</v>
      </c>
      <c r="M31" s="4" t="s">
        <v>30</v>
      </c>
      <c r="N31" s="4" t="s">
        <v>21</v>
      </c>
    </row>
    <row r="32" spans="1:14" x14ac:dyDescent="0.3">
      <c r="A32" s="4">
        <v>31</v>
      </c>
      <c r="B32" s="4">
        <v>24</v>
      </c>
      <c r="C32" s="4" t="s">
        <v>22</v>
      </c>
      <c r="D32" s="5">
        <v>6.2</v>
      </c>
      <c r="E32" s="4" t="s">
        <v>37</v>
      </c>
      <c r="F32" s="5">
        <v>7.8</v>
      </c>
      <c r="G32" s="4" t="s">
        <v>28</v>
      </c>
      <c r="H32" s="4"/>
      <c r="I32" s="5">
        <v>5.3</v>
      </c>
      <c r="J32" s="6">
        <v>6</v>
      </c>
      <c r="K32" s="4" t="s">
        <v>18</v>
      </c>
      <c r="L32" s="4" t="s">
        <v>30</v>
      </c>
      <c r="M32" s="4" t="s">
        <v>20</v>
      </c>
      <c r="N32" s="4" t="s">
        <v>21</v>
      </c>
    </row>
    <row r="33" spans="1:14" x14ac:dyDescent="0.3">
      <c r="A33" s="4">
        <v>32</v>
      </c>
      <c r="B33" s="4">
        <v>28</v>
      </c>
      <c r="C33" s="4" t="s">
        <v>14</v>
      </c>
      <c r="D33" s="5">
        <v>6.6</v>
      </c>
      <c r="E33" s="4" t="s">
        <v>23</v>
      </c>
      <c r="F33" s="5">
        <v>9.4</v>
      </c>
      <c r="G33" s="4" t="s">
        <v>38</v>
      </c>
      <c r="H33" s="4"/>
      <c r="I33" s="5">
        <v>3.6</v>
      </c>
      <c r="J33" s="6">
        <v>5</v>
      </c>
      <c r="K33" s="4" t="s">
        <v>39</v>
      </c>
      <c r="L33" s="4" t="s">
        <v>19</v>
      </c>
      <c r="M33" s="4" t="s">
        <v>20</v>
      </c>
      <c r="N33" s="4" t="s">
        <v>21</v>
      </c>
    </row>
    <row r="34" spans="1:14" x14ac:dyDescent="0.3">
      <c r="A34" s="4">
        <v>33</v>
      </c>
      <c r="B34" s="4">
        <v>17</v>
      </c>
      <c r="C34" s="4" t="s">
        <v>14</v>
      </c>
      <c r="D34" s="5">
        <v>8.1999999999999993</v>
      </c>
      <c r="E34" s="4" t="s">
        <v>15</v>
      </c>
      <c r="F34" s="5">
        <v>10</v>
      </c>
      <c r="G34" s="4" t="s">
        <v>28</v>
      </c>
      <c r="H34" s="4"/>
      <c r="I34" s="5">
        <v>3.2</v>
      </c>
      <c r="J34" s="6">
        <v>5</v>
      </c>
      <c r="K34" s="4" t="s">
        <v>39</v>
      </c>
      <c r="L34" s="4" t="s">
        <v>19</v>
      </c>
      <c r="M34" s="4" t="s">
        <v>36</v>
      </c>
      <c r="N34" s="4" t="s">
        <v>21</v>
      </c>
    </row>
    <row r="35" spans="1:14" x14ac:dyDescent="0.3">
      <c r="A35" s="4">
        <v>34</v>
      </c>
      <c r="B35" s="4">
        <v>28</v>
      </c>
      <c r="C35" s="4" t="s">
        <v>22</v>
      </c>
      <c r="D35" s="5">
        <v>4.9000000000000004</v>
      </c>
      <c r="E35" s="4" t="s">
        <v>23</v>
      </c>
      <c r="F35" s="5">
        <v>7.1</v>
      </c>
      <c r="G35" s="4" t="s">
        <v>28</v>
      </c>
      <c r="H35" s="4"/>
      <c r="I35" s="5">
        <v>1.4</v>
      </c>
      <c r="J35" s="6">
        <v>7</v>
      </c>
      <c r="K35" s="4" t="s">
        <v>18</v>
      </c>
      <c r="L35" s="4" t="s">
        <v>30</v>
      </c>
      <c r="M35" s="4" t="s">
        <v>36</v>
      </c>
      <c r="N35" s="4" t="s">
        <v>21</v>
      </c>
    </row>
    <row r="36" spans="1:14" ht="28.8" x14ac:dyDescent="0.3">
      <c r="A36" s="4">
        <v>35</v>
      </c>
      <c r="B36" s="4">
        <v>28</v>
      </c>
      <c r="C36" s="4" t="s">
        <v>14</v>
      </c>
      <c r="D36" s="5">
        <v>6.6</v>
      </c>
      <c r="E36" s="4" t="s">
        <v>34</v>
      </c>
      <c r="F36" s="5">
        <v>8.9</v>
      </c>
      <c r="G36" s="4" t="s">
        <v>24</v>
      </c>
      <c r="H36" s="4"/>
      <c r="I36" s="5">
        <v>2.5</v>
      </c>
      <c r="J36" s="6">
        <v>5</v>
      </c>
      <c r="K36" s="4" t="s">
        <v>18</v>
      </c>
      <c r="L36" s="4" t="s">
        <v>45</v>
      </c>
      <c r="M36" s="4" t="s">
        <v>20</v>
      </c>
      <c r="N36" s="4" t="s">
        <v>21</v>
      </c>
    </row>
    <row r="37" spans="1:14" x14ac:dyDescent="0.3">
      <c r="A37" s="4">
        <v>36</v>
      </c>
      <c r="B37" s="4">
        <v>18</v>
      </c>
      <c r="C37" s="4" t="s">
        <v>22</v>
      </c>
      <c r="D37" s="5">
        <v>3.6</v>
      </c>
      <c r="E37" s="4" t="s">
        <v>23</v>
      </c>
      <c r="F37" s="5">
        <v>5.2</v>
      </c>
      <c r="G37" s="4" t="s">
        <v>38</v>
      </c>
      <c r="H37" s="4"/>
      <c r="I37" s="5">
        <v>2</v>
      </c>
      <c r="J37" s="6">
        <v>6</v>
      </c>
      <c r="K37" s="4" t="s">
        <v>39</v>
      </c>
      <c r="L37" s="4" t="s">
        <v>30</v>
      </c>
      <c r="M37" s="4" t="s">
        <v>36</v>
      </c>
      <c r="N37" s="4" t="s">
        <v>21</v>
      </c>
    </row>
    <row r="38" spans="1:14" x14ac:dyDescent="0.3">
      <c r="A38" s="4">
        <v>37</v>
      </c>
      <c r="B38" s="4">
        <v>18</v>
      </c>
      <c r="C38" s="4" t="s">
        <v>14</v>
      </c>
      <c r="D38" s="5">
        <v>3.1</v>
      </c>
      <c r="E38" s="4" t="s">
        <v>27</v>
      </c>
      <c r="F38" s="5">
        <v>6</v>
      </c>
      <c r="G38" s="4" t="s">
        <v>46</v>
      </c>
      <c r="H38" s="4"/>
      <c r="I38" s="5">
        <v>2.6</v>
      </c>
      <c r="J38" s="6">
        <v>7</v>
      </c>
      <c r="K38" s="4" t="s">
        <v>29</v>
      </c>
      <c r="L38" s="4" t="s">
        <v>30</v>
      </c>
      <c r="M38" s="4" t="s">
        <v>36</v>
      </c>
      <c r="N38" s="4" t="s">
        <v>21</v>
      </c>
    </row>
    <row r="39" spans="1:14" ht="28.8" x14ac:dyDescent="0.3">
      <c r="A39" s="4">
        <v>38</v>
      </c>
      <c r="B39" s="4">
        <v>19</v>
      </c>
      <c r="C39" s="4" t="s">
        <v>22</v>
      </c>
      <c r="D39" s="5">
        <v>7</v>
      </c>
      <c r="E39" s="4" t="s">
        <v>15</v>
      </c>
      <c r="F39" s="5">
        <v>8.1</v>
      </c>
      <c r="G39" s="4" t="s">
        <v>24</v>
      </c>
      <c r="H39" s="4"/>
      <c r="I39" s="5">
        <v>2.6</v>
      </c>
      <c r="J39" s="6">
        <v>6</v>
      </c>
      <c r="K39" s="4" t="s">
        <v>33</v>
      </c>
      <c r="L39" s="4" t="s">
        <v>25</v>
      </c>
      <c r="M39" s="4" t="s">
        <v>36</v>
      </c>
      <c r="N39" s="4" t="s">
        <v>21</v>
      </c>
    </row>
    <row r="40" spans="1:14" x14ac:dyDescent="0.3">
      <c r="A40" s="4">
        <v>39</v>
      </c>
      <c r="B40" s="4">
        <v>20</v>
      </c>
      <c r="C40" s="4" t="s">
        <v>14</v>
      </c>
      <c r="D40" s="5">
        <v>5.6</v>
      </c>
      <c r="E40" s="4" t="s">
        <v>42</v>
      </c>
      <c r="F40" s="5">
        <v>8.6</v>
      </c>
      <c r="G40" s="4" t="s">
        <v>38</v>
      </c>
      <c r="H40" s="4"/>
      <c r="I40" s="5">
        <v>5.0999999999999996</v>
      </c>
      <c r="J40" s="6">
        <v>7</v>
      </c>
      <c r="K40" s="4" t="s">
        <v>33</v>
      </c>
      <c r="L40" s="4" t="s">
        <v>30</v>
      </c>
      <c r="M40" s="4" t="s">
        <v>36</v>
      </c>
      <c r="N40" s="4" t="s">
        <v>21</v>
      </c>
    </row>
    <row r="41" spans="1:14" x14ac:dyDescent="0.3">
      <c r="A41" s="4">
        <v>40</v>
      </c>
      <c r="B41" s="4">
        <v>26</v>
      </c>
      <c r="C41" s="4" t="s">
        <v>14</v>
      </c>
      <c r="D41" s="5">
        <v>6.6</v>
      </c>
      <c r="E41" s="4" t="s">
        <v>42</v>
      </c>
      <c r="F41" s="5">
        <v>8.6999999999999993</v>
      </c>
      <c r="G41" s="4" t="s">
        <v>28</v>
      </c>
      <c r="H41" s="4"/>
      <c r="I41" s="5">
        <v>1.9</v>
      </c>
      <c r="J41" s="6">
        <v>6</v>
      </c>
      <c r="K41" s="4" t="s">
        <v>18</v>
      </c>
      <c r="L41" s="4" t="s">
        <v>19</v>
      </c>
      <c r="M41" s="4" t="s">
        <v>36</v>
      </c>
      <c r="N41" s="4" t="s">
        <v>21</v>
      </c>
    </row>
    <row r="42" spans="1:14" x14ac:dyDescent="0.3">
      <c r="A42" s="4">
        <v>41</v>
      </c>
      <c r="B42" s="4">
        <v>19</v>
      </c>
      <c r="C42" s="4" t="s">
        <v>14</v>
      </c>
      <c r="D42" s="5">
        <v>8.3000000000000007</v>
      </c>
      <c r="E42" s="4" t="s">
        <v>37</v>
      </c>
      <c r="F42" s="5">
        <v>9.1999999999999993</v>
      </c>
      <c r="G42" s="4" t="s">
        <v>32</v>
      </c>
      <c r="H42" s="4"/>
      <c r="I42" s="5">
        <v>6.2</v>
      </c>
      <c r="J42" s="6">
        <v>4</v>
      </c>
      <c r="K42" s="4" t="s">
        <v>33</v>
      </c>
      <c r="L42" s="4" t="s">
        <v>19</v>
      </c>
      <c r="M42" s="4" t="s">
        <v>36</v>
      </c>
      <c r="N42" s="4" t="s">
        <v>21</v>
      </c>
    </row>
    <row r="43" spans="1:14" x14ac:dyDescent="0.3">
      <c r="A43" s="4">
        <v>42</v>
      </c>
      <c r="B43" s="4">
        <v>21</v>
      </c>
      <c r="C43" s="4" t="s">
        <v>40</v>
      </c>
      <c r="D43" s="5">
        <v>5.2</v>
      </c>
      <c r="E43" s="4" t="s">
        <v>42</v>
      </c>
      <c r="F43" s="5">
        <v>7.8</v>
      </c>
      <c r="G43" s="4" t="s">
        <v>28</v>
      </c>
      <c r="H43" s="4"/>
      <c r="I43" s="5">
        <v>2.6</v>
      </c>
      <c r="J43" s="6">
        <v>5</v>
      </c>
      <c r="K43" s="4" t="s">
        <v>18</v>
      </c>
      <c r="L43" s="4" t="s">
        <v>30</v>
      </c>
      <c r="M43" s="4" t="s">
        <v>36</v>
      </c>
      <c r="N43" s="4" t="s">
        <v>21</v>
      </c>
    </row>
    <row r="44" spans="1:14" x14ac:dyDescent="0.3">
      <c r="A44" s="4">
        <v>43</v>
      </c>
      <c r="B44" s="4">
        <v>23</v>
      </c>
      <c r="C44" s="4" t="s">
        <v>22</v>
      </c>
      <c r="D44" s="5">
        <v>3.9</v>
      </c>
      <c r="E44" s="4" t="s">
        <v>23</v>
      </c>
      <c r="F44" s="5">
        <v>4.8</v>
      </c>
      <c r="G44" s="4" t="s">
        <v>47</v>
      </c>
      <c r="H44" s="4"/>
      <c r="I44" s="5">
        <v>2.2000000000000002</v>
      </c>
      <c r="J44" s="6">
        <v>7</v>
      </c>
      <c r="K44" s="4" t="s">
        <v>33</v>
      </c>
      <c r="L44" s="4" t="s">
        <v>30</v>
      </c>
      <c r="M44" s="4" t="s">
        <v>45</v>
      </c>
      <c r="N44" s="4" t="s">
        <v>21</v>
      </c>
    </row>
    <row r="45" spans="1:14" x14ac:dyDescent="0.3">
      <c r="A45" s="4">
        <v>44</v>
      </c>
      <c r="B45" s="4">
        <v>19</v>
      </c>
      <c r="C45" s="4" t="s">
        <v>14</v>
      </c>
      <c r="D45" s="5">
        <v>7.9</v>
      </c>
      <c r="E45" s="4" t="s">
        <v>27</v>
      </c>
      <c r="F45" s="5">
        <v>9.1</v>
      </c>
      <c r="G45" s="4" t="s">
        <v>32</v>
      </c>
      <c r="H45" s="4"/>
      <c r="I45" s="5">
        <v>5.5</v>
      </c>
      <c r="J45" s="6">
        <v>4</v>
      </c>
      <c r="K45" s="4" t="s">
        <v>33</v>
      </c>
      <c r="L45" s="4" t="s">
        <v>19</v>
      </c>
      <c r="M45" s="4" t="s">
        <v>36</v>
      </c>
      <c r="N45" s="4" t="s">
        <v>21</v>
      </c>
    </row>
    <row r="46" spans="1:14" x14ac:dyDescent="0.3">
      <c r="A46" s="4">
        <v>45</v>
      </c>
      <c r="B46" s="4">
        <v>31</v>
      </c>
      <c r="C46" s="4" t="s">
        <v>14</v>
      </c>
      <c r="D46" s="5">
        <v>7.4</v>
      </c>
      <c r="E46" s="4" t="s">
        <v>34</v>
      </c>
      <c r="F46" s="5">
        <v>10.1</v>
      </c>
      <c r="G46" s="4" t="s">
        <v>28</v>
      </c>
      <c r="H46" s="4"/>
      <c r="I46" s="5">
        <v>5.4</v>
      </c>
      <c r="J46" s="6">
        <v>5</v>
      </c>
      <c r="K46" s="4" t="s">
        <v>33</v>
      </c>
      <c r="L46" s="4" t="s">
        <v>19</v>
      </c>
      <c r="M46" s="4" t="s">
        <v>20</v>
      </c>
      <c r="N46" s="4" t="s">
        <v>21</v>
      </c>
    </row>
    <row r="47" spans="1:14" x14ac:dyDescent="0.3">
      <c r="A47" s="4">
        <v>46</v>
      </c>
      <c r="B47" s="4">
        <v>20</v>
      </c>
      <c r="C47" s="4" t="s">
        <v>22</v>
      </c>
      <c r="D47" s="5">
        <v>7.8</v>
      </c>
      <c r="E47" s="4" t="s">
        <v>44</v>
      </c>
      <c r="F47" s="5">
        <v>10.9</v>
      </c>
      <c r="G47" s="4" t="s">
        <v>32</v>
      </c>
      <c r="H47" s="4"/>
      <c r="I47" s="5">
        <v>7.2</v>
      </c>
      <c r="J47" s="6">
        <v>4</v>
      </c>
      <c r="K47" s="4" t="s">
        <v>18</v>
      </c>
      <c r="L47" s="4" t="s">
        <v>19</v>
      </c>
      <c r="M47" s="4" t="s">
        <v>20</v>
      </c>
      <c r="N47" s="4" t="s">
        <v>21</v>
      </c>
    </row>
    <row r="48" spans="1:14" x14ac:dyDescent="0.3">
      <c r="A48" s="4">
        <v>47</v>
      </c>
      <c r="B48" s="4">
        <v>30</v>
      </c>
      <c r="C48" s="4" t="s">
        <v>14</v>
      </c>
      <c r="D48" s="5">
        <v>6.3</v>
      </c>
      <c r="E48" s="4" t="s">
        <v>23</v>
      </c>
      <c r="F48" s="5">
        <v>8.1999999999999993</v>
      </c>
      <c r="G48" s="4" t="s">
        <v>41</v>
      </c>
      <c r="H48" s="4"/>
      <c r="I48" s="5">
        <v>2.4</v>
      </c>
      <c r="J48" s="6">
        <v>5</v>
      </c>
      <c r="K48" s="4" t="s">
        <v>18</v>
      </c>
      <c r="L48" s="4" t="s">
        <v>25</v>
      </c>
      <c r="M48" s="4" t="s">
        <v>30</v>
      </c>
      <c r="N48" s="4" t="s">
        <v>21</v>
      </c>
    </row>
    <row r="49" spans="1:14" x14ac:dyDescent="0.3">
      <c r="A49" s="4">
        <v>48</v>
      </c>
      <c r="B49" s="4">
        <v>20</v>
      </c>
      <c r="C49" s="4" t="s">
        <v>22</v>
      </c>
      <c r="D49" s="5">
        <v>6.8</v>
      </c>
      <c r="E49" s="4" t="s">
        <v>42</v>
      </c>
      <c r="F49" s="5">
        <v>8</v>
      </c>
      <c r="G49" s="4" t="s">
        <v>43</v>
      </c>
      <c r="H49" s="4"/>
      <c r="I49" s="5">
        <v>4.9000000000000004</v>
      </c>
      <c r="J49" s="6">
        <v>5</v>
      </c>
      <c r="K49" s="4" t="s">
        <v>33</v>
      </c>
      <c r="L49" s="4" t="s">
        <v>19</v>
      </c>
      <c r="M49" s="4" t="s">
        <v>20</v>
      </c>
      <c r="N49" s="4" t="s">
        <v>21</v>
      </c>
    </row>
    <row r="50" spans="1:14" ht="28.8" x14ac:dyDescent="0.3">
      <c r="A50" s="4">
        <v>49</v>
      </c>
      <c r="B50" s="4">
        <v>20</v>
      </c>
      <c r="C50" s="4" t="s">
        <v>22</v>
      </c>
      <c r="D50" s="5">
        <v>7</v>
      </c>
      <c r="E50" s="4" t="s">
        <v>44</v>
      </c>
      <c r="F50" s="5">
        <v>8.5</v>
      </c>
      <c r="G50" s="4" t="s">
        <v>24</v>
      </c>
      <c r="H50" s="4"/>
      <c r="I50" s="5">
        <v>5.9</v>
      </c>
      <c r="J50" s="6">
        <v>5</v>
      </c>
      <c r="K50" s="4" t="s">
        <v>39</v>
      </c>
      <c r="L50" s="4" t="s">
        <v>30</v>
      </c>
      <c r="M50" s="4" t="s">
        <v>20</v>
      </c>
      <c r="N50" s="4" t="s">
        <v>21</v>
      </c>
    </row>
    <row r="51" spans="1:14" x14ac:dyDescent="0.3">
      <c r="A51" s="4">
        <v>50</v>
      </c>
      <c r="B51" s="4">
        <v>31</v>
      </c>
      <c r="C51" s="4" t="s">
        <v>22</v>
      </c>
      <c r="D51" s="5">
        <v>4.8</v>
      </c>
      <c r="E51" s="4" t="s">
        <v>27</v>
      </c>
      <c r="F51" s="5">
        <v>6.4</v>
      </c>
      <c r="G51" s="4" t="s">
        <v>38</v>
      </c>
      <c r="H51" s="4"/>
      <c r="I51" s="5">
        <v>2.8</v>
      </c>
      <c r="J51" s="6">
        <v>5</v>
      </c>
      <c r="K51" s="4" t="s">
        <v>33</v>
      </c>
      <c r="L51" s="4" t="s">
        <v>30</v>
      </c>
      <c r="M51" s="4" t="s">
        <v>36</v>
      </c>
      <c r="N51" s="4" t="s">
        <v>21</v>
      </c>
    </row>
    <row r="52" spans="1:14" x14ac:dyDescent="0.3">
      <c r="A52" s="4">
        <v>51</v>
      </c>
      <c r="B52" s="4">
        <v>20</v>
      </c>
      <c r="C52" s="4" t="s">
        <v>22</v>
      </c>
      <c r="D52" s="5">
        <v>6</v>
      </c>
      <c r="E52" s="4" t="s">
        <v>37</v>
      </c>
      <c r="F52" s="5">
        <v>8.5</v>
      </c>
      <c r="G52" s="4" t="s">
        <v>38</v>
      </c>
      <c r="H52" s="4"/>
      <c r="I52" s="5">
        <v>3.3</v>
      </c>
      <c r="J52" s="6">
        <v>6</v>
      </c>
      <c r="K52" s="4" t="s">
        <v>33</v>
      </c>
      <c r="L52" s="4" t="s">
        <v>19</v>
      </c>
      <c r="M52" s="4" t="s">
        <v>30</v>
      </c>
      <c r="N52" s="4" t="s">
        <v>21</v>
      </c>
    </row>
    <row r="53" spans="1:14" x14ac:dyDescent="0.3">
      <c r="A53" s="4">
        <v>52</v>
      </c>
      <c r="B53" s="4">
        <v>17</v>
      </c>
      <c r="C53" s="4" t="s">
        <v>22</v>
      </c>
      <c r="D53" s="5">
        <v>7.9</v>
      </c>
      <c r="E53" s="4" t="s">
        <v>27</v>
      </c>
      <c r="F53" s="5">
        <v>11</v>
      </c>
      <c r="G53" s="4" t="s">
        <v>43</v>
      </c>
      <c r="H53" s="4"/>
      <c r="I53" s="5">
        <v>7.8</v>
      </c>
      <c r="J53" s="6">
        <v>4</v>
      </c>
      <c r="K53" s="4" t="s">
        <v>33</v>
      </c>
      <c r="L53" s="4" t="s">
        <v>19</v>
      </c>
      <c r="M53" s="4" t="s">
        <v>20</v>
      </c>
      <c r="N53" s="4" t="s">
        <v>21</v>
      </c>
    </row>
    <row r="54" spans="1:14" x14ac:dyDescent="0.3">
      <c r="A54" s="4">
        <v>53</v>
      </c>
      <c r="B54" s="4">
        <v>30</v>
      </c>
      <c r="C54" s="4" t="s">
        <v>14</v>
      </c>
      <c r="D54" s="5">
        <v>3.8</v>
      </c>
      <c r="E54" s="4" t="s">
        <v>23</v>
      </c>
      <c r="F54" s="5">
        <v>6.6</v>
      </c>
      <c r="G54" s="4" t="s">
        <v>28</v>
      </c>
      <c r="H54" s="4"/>
      <c r="I54" s="5">
        <v>3.3</v>
      </c>
      <c r="J54" s="6">
        <v>6</v>
      </c>
      <c r="K54" s="4" t="s">
        <v>18</v>
      </c>
      <c r="L54" s="4" t="s">
        <v>25</v>
      </c>
      <c r="M54" s="4" t="s">
        <v>20</v>
      </c>
      <c r="N54" s="4" t="s">
        <v>21</v>
      </c>
    </row>
    <row r="55" spans="1:14" x14ac:dyDescent="0.3">
      <c r="A55" s="4">
        <v>54</v>
      </c>
      <c r="B55" s="4">
        <v>21</v>
      </c>
      <c r="C55" s="4" t="s">
        <v>22</v>
      </c>
      <c r="D55" s="5">
        <v>4.8</v>
      </c>
      <c r="E55" s="4" t="s">
        <v>42</v>
      </c>
      <c r="F55" s="5">
        <v>5.9</v>
      </c>
      <c r="G55" s="4" t="s">
        <v>35</v>
      </c>
      <c r="H55" s="4"/>
      <c r="I55" s="5">
        <v>1</v>
      </c>
      <c r="J55" s="6">
        <v>8</v>
      </c>
      <c r="K55" s="4" t="s">
        <v>18</v>
      </c>
      <c r="L55" s="4" t="s">
        <v>25</v>
      </c>
      <c r="M55" s="4" t="s">
        <v>20</v>
      </c>
      <c r="N55" s="4" t="s">
        <v>21</v>
      </c>
    </row>
    <row r="56" spans="1:14" x14ac:dyDescent="0.3">
      <c r="A56" s="4">
        <v>55</v>
      </c>
      <c r="B56" s="4">
        <v>19</v>
      </c>
      <c r="C56" s="4" t="s">
        <v>22</v>
      </c>
      <c r="D56" s="5">
        <v>6</v>
      </c>
      <c r="E56" s="4" t="s">
        <v>23</v>
      </c>
      <c r="F56" s="5">
        <v>9</v>
      </c>
      <c r="G56" s="4" t="s">
        <v>43</v>
      </c>
      <c r="H56" s="4"/>
      <c r="I56" s="5">
        <v>3.5</v>
      </c>
      <c r="J56" s="6">
        <v>6</v>
      </c>
      <c r="K56" s="4" t="s">
        <v>18</v>
      </c>
      <c r="L56" s="4" t="s">
        <v>30</v>
      </c>
      <c r="M56" s="4" t="s">
        <v>20</v>
      </c>
      <c r="N56" s="4" t="s">
        <v>21</v>
      </c>
    </row>
    <row r="57" spans="1:14" x14ac:dyDescent="0.3">
      <c r="A57" s="4">
        <v>56</v>
      </c>
      <c r="B57" s="4">
        <v>21</v>
      </c>
      <c r="C57" s="4" t="s">
        <v>14</v>
      </c>
      <c r="D57" s="5">
        <v>2.5</v>
      </c>
      <c r="E57" s="4" t="s">
        <v>42</v>
      </c>
      <c r="F57" s="5">
        <v>3.9</v>
      </c>
      <c r="G57" s="4" t="s">
        <v>32</v>
      </c>
      <c r="H57" s="4"/>
      <c r="I57" s="5">
        <v>1.1000000000000001</v>
      </c>
      <c r="J57" s="6">
        <v>9</v>
      </c>
      <c r="K57" s="4" t="s">
        <v>39</v>
      </c>
      <c r="L57" s="4" t="s">
        <v>19</v>
      </c>
      <c r="M57" s="4" t="s">
        <v>36</v>
      </c>
      <c r="N57" s="4" t="s">
        <v>21</v>
      </c>
    </row>
    <row r="58" spans="1:14" x14ac:dyDescent="0.3">
      <c r="A58" s="4">
        <v>57</v>
      </c>
      <c r="B58" s="4">
        <v>18</v>
      </c>
      <c r="C58" s="4" t="s">
        <v>14</v>
      </c>
      <c r="D58" s="5">
        <v>3.5</v>
      </c>
      <c r="E58" s="4" t="s">
        <v>23</v>
      </c>
      <c r="F58" s="5">
        <v>4.3</v>
      </c>
      <c r="G58" s="4" t="s">
        <v>47</v>
      </c>
      <c r="H58" s="4"/>
      <c r="I58" s="5">
        <v>2.4</v>
      </c>
      <c r="J58" s="6">
        <v>7</v>
      </c>
      <c r="K58" s="4" t="s">
        <v>39</v>
      </c>
      <c r="L58" s="4" t="s">
        <v>19</v>
      </c>
      <c r="M58" s="4" t="s">
        <v>20</v>
      </c>
      <c r="N58" s="4" t="s">
        <v>21</v>
      </c>
    </row>
    <row r="59" spans="1:14" ht="28.8" x14ac:dyDescent="0.3">
      <c r="A59" s="4">
        <v>58</v>
      </c>
      <c r="B59" s="4">
        <v>20</v>
      </c>
      <c r="C59" s="4" t="s">
        <v>22</v>
      </c>
      <c r="D59" s="5">
        <v>3.2</v>
      </c>
      <c r="E59" s="4" t="s">
        <v>37</v>
      </c>
      <c r="F59" s="5">
        <v>5.9</v>
      </c>
      <c r="G59" s="4" t="s">
        <v>24</v>
      </c>
      <c r="H59" s="4"/>
      <c r="I59" s="5">
        <v>1.8</v>
      </c>
      <c r="J59" s="6">
        <v>7</v>
      </c>
      <c r="K59" s="4" t="s">
        <v>29</v>
      </c>
      <c r="L59" s="4" t="s">
        <v>30</v>
      </c>
      <c r="M59" s="4" t="s">
        <v>36</v>
      </c>
      <c r="N59" s="4" t="s">
        <v>21</v>
      </c>
    </row>
    <row r="60" spans="1:14" x14ac:dyDescent="0.3">
      <c r="A60" s="4">
        <v>59</v>
      </c>
      <c r="B60" s="4">
        <v>22</v>
      </c>
      <c r="C60" s="4" t="s">
        <v>22</v>
      </c>
      <c r="D60" s="5">
        <v>2.2999999999999998</v>
      </c>
      <c r="E60" s="4" t="s">
        <v>42</v>
      </c>
      <c r="F60" s="5">
        <v>4.5999999999999996</v>
      </c>
      <c r="G60" s="4" t="s">
        <v>43</v>
      </c>
      <c r="H60" s="4"/>
      <c r="I60" s="5">
        <v>1.2</v>
      </c>
      <c r="J60" s="6">
        <v>9</v>
      </c>
      <c r="K60" s="4" t="s">
        <v>39</v>
      </c>
      <c r="L60" s="4" t="s">
        <v>19</v>
      </c>
      <c r="M60" s="4" t="s">
        <v>45</v>
      </c>
      <c r="N60" s="4" t="s">
        <v>21</v>
      </c>
    </row>
    <row r="61" spans="1:14" x14ac:dyDescent="0.3">
      <c r="A61" s="4">
        <v>60</v>
      </c>
      <c r="B61" s="4">
        <v>23</v>
      </c>
      <c r="C61" s="4" t="s">
        <v>22</v>
      </c>
      <c r="D61" s="5">
        <v>3.5</v>
      </c>
      <c r="E61" s="4" t="s">
        <v>42</v>
      </c>
      <c r="F61" s="5">
        <v>5.0999999999999996</v>
      </c>
      <c r="G61" s="4" t="s">
        <v>28</v>
      </c>
      <c r="H61" s="4"/>
      <c r="I61" s="5">
        <v>3.1</v>
      </c>
      <c r="J61" s="6">
        <v>6</v>
      </c>
      <c r="K61" s="4" t="s">
        <v>33</v>
      </c>
      <c r="L61" s="4" t="s">
        <v>30</v>
      </c>
      <c r="M61" s="4" t="s">
        <v>36</v>
      </c>
      <c r="N61" s="4" t="s">
        <v>21</v>
      </c>
    </row>
    <row r="62" spans="1:14" x14ac:dyDescent="0.3">
      <c r="A62" s="4">
        <v>61</v>
      </c>
      <c r="B62" s="4">
        <v>18</v>
      </c>
      <c r="C62" s="4" t="s">
        <v>22</v>
      </c>
      <c r="D62" s="5">
        <v>4.7</v>
      </c>
      <c r="E62" s="4" t="s">
        <v>34</v>
      </c>
      <c r="F62" s="5">
        <v>7.4</v>
      </c>
      <c r="G62" s="4" t="s">
        <v>28</v>
      </c>
      <c r="H62" s="4"/>
      <c r="I62" s="5">
        <v>2.4</v>
      </c>
      <c r="J62" s="6">
        <v>6</v>
      </c>
      <c r="K62" s="4" t="s">
        <v>18</v>
      </c>
      <c r="L62" s="4" t="s">
        <v>19</v>
      </c>
      <c r="M62" s="4" t="s">
        <v>30</v>
      </c>
      <c r="N62" s="4" t="s">
        <v>21</v>
      </c>
    </row>
    <row r="63" spans="1:14" x14ac:dyDescent="0.3">
      <c r="A63" s="4">
        <v>62</v>
      </c>
      <c r="B63" s="4">
        <v>20</v>
      </c>
      <c r="C63" s="4" t="s">
        <v>14</v>
      </c>
      <c r="D63" s="5">
        <v>3.8</v>
      </c>
      <c r="E63" s="4" t="s">
        <v>42</v>
      </c>
      <c r="F63" s="5">
        <v>6.5</v>
      </c>
      <c r="G63" s="4" t="s">
        <v>43</v>
      </c>
      <c r="H63" s="4"/>
      <c r="I63" s="5">
        <v>1.3</v>
      </c>
      <c r="J63" s="6">
        <v>8</v>
      </c>
      <c r="K63" s="4" t="s">
        <v>18</v>
      </c>
      <c r="L63" s="4" t="s">
        <v>45</v>
      </c>
      <c r="M63" s="4" t="s">
        <v>20</v>
      </c>
      <c r="N63" s="4" t="s">
        <v>21</v>
      </c>
    </row>
    <row r="64" spans="1:14" x14ac:dyDescent="0.3">
      <c r="A64" s="4">
        <v>63</v>
      </c>
      <c r="B64" s="4">
        <v>19</v>
      </c>
      <c r="C64" s="4" t="s">
        <v>14</v>
      </c>
      <c r="D64" s="5">
        <v>2.9</v>
      </c>
      <c r="E64" s="4" t="s">
        <v>37</v>
      </c>
      <c r="F64" s="5">
        <v>3.8</v>
      </c>
      <c r="G64" s="4" t="s">
        <v>28</v>
      </c>
      <c r="H64" s="4"/>
      <c r="I64" s="5">
        <v>1.1000000000000001</v>
      </c>
      <c r="J64" s="6">
        <v>9</v>
      </c>
      <c r="K64" s="4" t="s">
        <v>18</v>
      </c>
      <c r="L64" s="4" t="s">
        <v>19</v>
      </c>
      <c r="M64" s="4" t="s">
        <v>20</v>
      </c>
      <c r="N64" s="4" t="s">
        <v>21</v>
      </c>
    </row>
    <row r="65" spans="1:14" x14ac:dyDescent="0.3">
      <c r="A65" s="4">
        <v>64</v>
      </c>
      <c r="B65" s="4">
        <v>23</v>
      </c>
      <c r="C65" s="4" t="s">
        <v>22</v>
      </c>
      <c r="D65" s="5">
        <v>6.6</v>
      </c>
      <c r="E65" s="4" t="s">
        <v>23</v>
      </c>
      <c r="F65" s="5">
        <v>8.3000000000000007</v>
      </c>
      <c r="G65" s="4" t="s">
        <v>38</v>
      </c>
      <c r="H65" s="4"/>
      <c r="I65" s="5">
        <v>1.4</v>
      </c>
      <c r="J65" s="6">
        <v>6</v>
      </c>
      <c r="K65" s="4" t="s">
        <v>39</v>
      </c>
      <c r="L65" s="4" t="s">
        <v>30</v>
      </c>
      <c r="M65" s="4" t="s">
        <v>36</v>
      </c>
      <c r="N65" s="4" t="s">
        <v>21</v>
      </c>
    </row>
    <row r="66" spans="1:14" x14ac:dyDescent="0.3">
      <c r="A66" s="4">
        <v>65</v>
      </c>
      <c r="B66" s="4">
        <v>20</v>
      </c>
      <c r="C66" s="4" t="s">
        <v>22</v>
      </c>
      <c r="D66" s="5">
        <v>8.3000000000000007</v>
      </c>
      <c r="E66" s="4" t="s">
        <v>42</v>
      </c>
      <c r="F66" s="5">
        <v>11.4</v>
      </c>
      <c r="G66" s="4" t="s">
        <v>43</v>
      </c>
      <c r="H66" s="4"/>
      <c r="I66" s="5">
        <v>1.5</v>
      </c>
      <c r="J66" s="6">
        <v>6</v>
      </c>
      <c r="K66" s="4" t="s">
        <v>39</v>
      </c>
      <c r="L66" s="4" t="s">
        <v>30</v>
      </c>
      <c r="M66" s="4" t="s">
        <v>20</v>
      </c>
      <c r="N66" s="4" t="s">
        <v>21</v>
      </c>
    </row>
    <row r="67" spans="1:14" x14ac:dyDescent="0.3">
      <c r="A67" s="4">
        <v>66</v>
      </c>
      <c r="B67" s="4">
        <v>17</v>
      </c>
      <c r="C67" s="4" t="s">
        <v>22</v>
      </c>
      <c r="D67" s="5">
        <v>4.7</v>
      </c>
      <c r="E67" s="4" t="s">
        <v>42</v>
      </c>
      <c r="F67" s="5">
        <v>7.1</v>
      </c>
      <c r="G67" s="4" t="s">
        <v>28</v>
      </c>
      <c r="H67" s="4"/>
      <c r="I67" s="5">
        <v>4</v>
      </c>
      <c r="J67" s="6">
        <v>7</v>
      </c>
      <c r="K67" s="4" t="s">
        <v>18</v>
      </c>
      <c r="L67" s="4" t="s">
        <v>19</v>
      </c>
      <c r="M67" s="4" t="s">
        <v>36</v>
      </c>
      <c r="N67" s="4" t="s">
        <v>21</v>
      </c>
    </row>
    <row r="68" spans="1:14" x14ac:dyDescent="0.3">
      <c r="A68" s="4">
        <v>67</v>
      </c>
      <c r="B68" s="4">
        <v>23</v>
      </c>
      <c r="C68" s="4" t="s">
        <v>14</v>
      </c>
      <c r="D68" s="5">
        <v>8</v>
      </c>
      <c r="E68" s="4" t="s">
        <v>34</v>
      </c>
      <c r="F68" s="5">
        <v>11</v>
      </c>
      <c r="G68" s="4" t="s">
        <v>38</v>
      </c>
      <c r="H68" s="4"/>
      <c r="I68" s="5">
        <v>6</v>
      </c>
      <c r="J68" s="6">
        <v>7</v>
      </c>
      <c r="K68" s="4" t="s">
        <v>18</v>
      </c>
      <c r="L68" s="4" t="s">
        <v>19</v>
      </c>
      <c r="M68" s="4" t="s">
        <v>20</v>
      </c>
      <c r="N68" s="4" t="s">
        <v>21</v>
      </c>
    </row>
    <row r="69" spans="1:14" x14ac:dyDescent="0.3">
      <c r="A69" s="4">
        <v>68</v>
      </c>
      <c r="B69" s="4">
        <v>17</v>
      </c>
      <c r="C69" s="4" t="s">
        <v>14</v>
      </c>
      <c r="D69" s="5">
        <v>3.7</v>
      </c>
      <c r="E69" s="4" t="s">
        <v>27</v>
      </c>
      <c r="F69" s="5">
        <v>4.8</v>
      </c>
      <c r="G69" s="4" t="s">
        <v>38</v>
      </c>
      <c r="H69" s="4"/>
      <c r="I69" s="5">
        <v>1.3</v>
      </c>
      <c r="J69" s="6">
        <v>6</v>
      </c>
      <c r="K69" s="4" t="s">
        <v>29</v>
      </c>
      <c r="L69" s="4" t="s">
        <v>45</v>
      </c>
      <c r="M69" s="4" t="s">
        <v>36</v>
      </c>
      <c r="N69" s="4" t="s">
        <v>21</v>
      </c>
    </row>
    <row r="70" spans="1:14" ht="28.8" x14ac:dyDescent="0.3">
      <c r="A70" s="4">
        <v>69</v>
      </c>
      <c r="B70" s="4">
        <v>17</v>
      </c>
      <c r="C70" s="4" t="s">
        <v>22</v>
      </c>
      <c r="D70" s="5">
        <v>3.6</v>
      </c>
      <c r="E70" s="4" t="s">
        <v>44</v>
      </c>
      <c r="F70" s="5">
        <v>6.4</v>
      </c>
      <c r="G70" s="4" t="s">
        <v>24</v>
      </c>
      <c r="H70" s="4"/>
      <c r="I70" s="5">
        <v>3.3</v>
      </c>
      <c r="J70" s="6">
        <v>7</v>
      </c>
      <c r="K70" s="4" t="s">
        <v>33</v>
      </c>
      <c r="L70" s="4" t="s">
        <v>45</v>
      </c>
      <c r="M70" s="4" t="s">
        <v>45</v>
      </c>
      <c r="N70" s="4" t="s">
        <v>21</v>
      </c>
    </row>
    <row r="71" spans="1:14" x14ac:dyDescent="0.3">
      <c r="A71" s="4">
        <v>70</v>
      </c>
      <c r="B71" s="4">
        <v>21</v>
      </c>
      <c r="C71" s="4" t="s">
        <v>22</v>
      </c>
      <c r="D71" s="5">
        <v>2</v>
      </c>
      <c r="E71" s="4" t="s">
        <v>15</v>
      </c>
      <c r="F71" s="5">
        <v>4.5999999999999996</v>
      </c>
      <c r="G71" s="4" t="s">
        <v>43</v>
      </c>
      <c r="H71" s="4"/>
      <c r="I71" s="5">
        <v>1.4</v>
      </c>
      <c r="J71" s="6">
        <v>7</v>
      </c>
      <c r="K71" s="4" t="s">
        <v>39</v>
      </c>
      <c r="L71" s="4" t="s">
        <v>19</v>
      </c>
      <c r="M71" s="4" t="s">
        <v>36</v>
      </c>
      <c r="N71" s="4" t="s">
        <v>21</v>
      </c>
    </row>
    <row r="72" spans="1:14" x14ac:dyDescent="0.3">
      <c r="A72" s="4">
        <v>71</v>
      </c>
      <c r="B72" s="4">
        <v>22</v>
      </c>
      <c r="C72" s="4" t="s">
        <v>22</v>
      </c>
      <c r="D72" s="5">
        <v>3.5</v>
      </c>
      <c r="E72" s="4" t="s">
        <v>37</v>
      </c>
      <c r="F72" s="5">
        <v>4.8</v>
      </c>
      <c r="G72" s="4" t="s">
        <v>35</v>
      </c>
      <c r="H72" s="4"/>
      <c r="I72" s="5">
        <v>2.5</v>
      </c>
      <c r="J72" s="6">
        <v>6</v>
      </c>
      <c r="K72" s="4" t="s">
        <v>18</v>
      </c>
      <c r="L72" s="4" t="s">
        <v>19</v>
      </c>
      <c r="M72" s="4" t="s">
        <v>45</v>
      </c>
      <c r="N72" s="4" t="s">
        <v>21</v>
      </c>
    </row>
    <row r="73" spans="1:14" ht="28.8" x14ac:dyDescent="0.3">
      <c r="A73" s="4">
        <v>72</v>
      </c>
      <c r="B73" s="4">
        <v>21</v>
      </c>
      <c r="C73" s="4" t="s">
        <v>22</v>
      </c>
      <c r="D73" s="5">
        <v>7.3</v>
      </c>
      <c r="E73" s="4" t="s">
        <v>23</v>
      </c>
      <c r="F73" s="5">
        <v>9.1999999999999993</v>
      </c>
      <c r="G73" s="4" t="s">
        <v>24</v>
      </c>
      <c r="H73" s="4"/>
      <c r="I73" s="5">
        <v>4.2</v>
      </c>
      <c r="J73" s="6">
        <v>5</v>
      </c>
      <c r="K73" s="4" t="s">
        <v>33</v>
      </c>
      <c r="L73" s="4" t="s">
        <v>30</v>
      </c>
      <c r="M73" s="4" t="s">
        <v>36</v>
      </c>
      <c r="N73" s="4" t="s">
        <v>21</v>
      </c>
    </row>
    <row r="74" spans="1:14" x14ac:dyDescent="0.3">
      <c r="A74" s="4">
        <v>73</v>
      </c>
      <c r="B74" s="4">
        <v>23</v>
      </c>
      <c r="C74" s="4" t="s">
        <v>14</v>
      </c>
      <c r="D74" s="5">
        <v>6.5</v>
      </c>
      <c r="E74" s="4" t="s">
        <v>15</v>
      </c>
      <c r="F74" s="5">
        <v>9.4</v>
      </c>
      <c r="G74" s="4" t="s">
        <v>43</v>
      </c>
      <c r="H74" s="4"/>
      <c r="I74" s="5">
        <v>4.3</v>
      </c>
      <c r="J74" s="6">
        <v>4</v>
      </c>
      <c r="K74" s="4" t="s">
        <v>33</v>
      </c>
      <c r="L74" s="4" t="s">
        <v>25</v>
      </c>
      <c r="M74" s="4" t="s">
        <v>30</v>
      </c>
      <c r="N74" s="4" t="s">
        <v>21</v>
      </c>
    </row>
    <row r="75" spans="1:14" x14ac:dyDescent="0.3">
      <c r="A75" s="4">
        <v>74</v>
      </c>
      <c r="B75" s="4">
        <v>22</v>
      </c>
      <c r="C75" s="4" t="s">
        <v>22</v>
      </c>
      <c r="D75" s="5">
        <v>2.7</v>
      </c>
      <c r="E75" s="4" t="s">
        <v>15</v>
      </c>
      <c r="F75" s="5">
        <v>4.5999999999999996</v>
      </c>
      <c r="G75" s="4" t="s">
        <v>32</v>
      </c>
      <c r="H75" s="4"/>
      <c r="I75" s="5">
        <v>1.3</v>
      </c>
      <c r="J75" s="6">
        <v>8</v>
      </c>
      <c r="K75" s="4" t="s">
        <v>29</v>
      </c>
      <c r="L75" s="4" t="s">
        <v>30</v>
      </c>
      <c r="M75" s="4" t="s">
        <v>30</v>
      </c>
      <c r="N75" s="4" t="s">
        <v>21</v>
      </c>
    </row>
    <row r="76" spans="1:14" x14ac:dyDescent="0.3">
      <c r="A76" s="4">
        <v>75</v>
      </c>
      <c r="B76" s="4">
        <v>24</v>
      </c>
      <c r="C76" s="4" t="s">
        <v>22</v>
      </c>
      <c r="D76" s="5">
        <v>2</v>
      </c>
      <c r="E76" s="4" t="s">
        <v>15</v>
      </c>
      <c r="F76" s="5">
        <v>2.8</v>
      </c>
      <c r="G76" s="4" t="s">
        <v>43</v>
      </c>
      <c r="H76" s="4"/>
      <c r="I76" s="5">
        <v>1.1000000000000001</v>
      </c>
      <c r="J76" s="6">
        <v>7</v>
      </c>
      <c r="K76" s="4" t="s">
        <v>18</v>
      </c>
      <c r="L76" s="4" t="s">
        <v>45</v>
      </c>
      <c r="M76" s="4" t="s">
        <v>20</v>
      </c>
      <c r="N76" s="4" t="s">
        <v>21</v>
      </c>
    </row>
    <row r="77" spans="1:14" x14ac:dyDescent="0.3">
      <c r="A77" s="4">
        <v>76</v>
      </c>
      <c r="B77" s="4">
        <v>18</v>
      </c>
      <c r="C77" s="4" t="s">
        <v>14</v>
      </c>
      <c r="D77" s="5">
        <v>6.3</v>
      </c>
      <c r="E77" s="4" t="s">
        <v>15</v>
      </c>
      <c r="F77" s="5">
        <v>8.6999999999999993</v>
      </c>
      <c r="G77" s="4" t="s">
        <v>32</v>
      </c>
      <c r="H77" s="4"/>
      <c r="I77" s="5">
        <v>5.5</v>
      </c>
      <c r="J77" s="6">
        <v>4</v>
      </c>
      <c r="K77" s="4" t="s">
        <v>33</v>
      </c>
      <c r="L77" s="4" t="s">
        <v>19</v>
      </c>
      <c r="M77" s="4" t="s">
        <v>20</v>
      </c>
      <c r="N77" s="4" t="s">
        <v>21</v>
      </c>
    </row>
    <row r="78" spans="1:14" x14ac:dyDescent="0.3">
      <c r="A78" s="4">
        <v>77</v>
      </c>
      <c r="B78" s="4">
        <v>23</v>
      </c>
      <c r="C78" s="4" t="s">
        <v>14</v>
      </c>
      <c r="D78" s="5">
        <v>3.2</v>
      </c>
      <c r="E78" s="4" t="s">
        <v>23</v>
      </c>
      <c r="F78" s="5">
        <v>5</v>
      </c>
      <c r="G78" s="4" t="s">
        <v>28</v>
      </c>
      <c r="H78" s="4"/>
      <c r="I78" s="5">
        <v>2.2999999999999998</v>
      </c>
      <c r="J78" s="6">
        <v>6</v>
      </c>
      <c r="K78" s="4" t="s">
        <v>18</v>
      </c>
      <c r="L78" s="4" t="s">
        <v>25</v>
      </c>
      <c r="M78" s="4" t="s">
        <v>20</v>
      </c>
      <c r="N78" s="4" t="s">
        <v>21</v>
      </c>
    </row>
    <row r="79" spans="1:14" x14ac:dyDescent="0.3">
      <c r="A79" s="4">
        <v>78</v>
      </c>
      <c r="B79" s="4">
        <v>26</v>
      </c>
      <c r="C79" s="4" t="s">
        <v>14</v>
      </c>
      <c r="D79" s="5">
        <v>7.7</v>
      </c>
      <c r="E79" s="4" t="s">
        <v>15</v>
      </c>
      <c r="F79" s="5">
        <v>8.6</v>
      </c>
      <c r="G79" s="4" t="s">
        <v>43</v>
      </c>
      <c r="H79" s="4"/>
      <c r="I79" s="5">
        <v>3.1</v>
      </c>
      <c r="J79" s="6">
        <v>5</v>
      </c>
      <c r="K79" s="4" t="s">
        <v>33</v>
      </c>
      <c r="L79" s="4" t="s">
        <v>19</v>
      </c>
      <c r="M79" s="4" t="s">
        <v>20</v>
      </c>
      <c r="N79" s="4" t="s">
        <v>21</v>
      </c>
    </row>
    <row r="80" spans="1:14" x14ac:dyDescent="0.3">
      <c r="A80" s="4">
        <v>79</v>
      </c>
      <c r="B80" s="4">
        <v>24</v>
      </c>
      <c r="C80" s="4" t="s">
        <v>22</v>
      </c>
      <c r="D80" s="5">
        <v>3.7</v>
      </c>
      <c r="E80" s="4" t="s">
        <v>23</v>
      </c>
      <c r="F80" s="5">
        <v>6.7</v>
      </c>
      <c r="G80" s="4" t="s">
        <v>38</v>
      </c>
      <c r="H80" s="4"/>
      <c r="I80" s="5">
        <v>2.2000000000000002</v>
      </c>
      <c r="J80" s="6">
        <v>8</v>
      </c>
      <c r="K80" s="4" t="s">
        <v>18</v>
      </c>
      <c r="L80" s="4" t="s">
        <v>19</v>
      </c>
      <c r="M80" s="4" t="s">
        <v>30</v>
      </c>
      <c r="N80" s="4" t="s">
        <v>21</v>
      </c>
    </row>
    <row r="81" spans="1:14" x14ac:dyDescent="0.3">
      <c r="A81" s="4">
        <v>80</v>
      </c>
      <c r="B81" s="4">
        <v>28</v>
      </c>
      <c r="C81" s="4" t="s">
        <v>14</v>
      </c>
      <c r="D81" s="5">
        <v>7.9</v>
      </c>
      <c r="E81" s="4" t="s">
        <v>23</v>
      </c>
      <c r="F81" s="5">
        <v>9.3000000000000007</v>
      </c>
      <c r="G81" s="4" t="s">
        <v>43</v>
      </c>
      <c r="H81" s="4"/>
      <c r="I81" s="5">
        <v>4.4000000000000004</v>
      </c>
      <c r="J81" s="6">
        <v>5</v>
      </c>
      <c r="K81" s="4" t="s">
        <v>33</v>
      </c>
      <c r="L81" s="4" t="s">
        <v>25</v>
      </c>
      <c r="M81" s="4" t="s">
        <v>36</v>
      </c>
      <c r="N81" s="4" t="s">
        <v>21</v>
      </c>
    </row>
    <row r="82" spans="1:14" x14ac:dyDescent="0.3">
      <c r="A82" s="4">
        <v>81</v>
      </c>
      <c r="B82" s="4">
        <v>19</v>
      </c>
      <c r="C82" s="4" t="s">
        <v>22</v>
      </c>
      <c r="D82" s="5">
        <v>5.6</v>
      </c>
      <c r="E82" s="4" t="s">
        <v>27</v>
      </c>
      <c r="F82" s="5">
        <v>7.7</v>
      </c>
      <c r="G82" s="4" t="s">
        <v>41</v>
      </c>
      <c r="H82" s="4"/>
      <c r="I82" s="5">
        <v>2</v>
      </c>
      <c r="J82" s="6">
        <v>7</v>
      </c>
      <c r="K82" s="4" t="s">
        <v>18</v>
      </c>
      <c r="L82" s="4" t="s">
        <v>25</v>
      </c>
      <c r="M82" s="4" t="s">
        <v>45</v>
      </c>
      <c r="N82" s="4" t="s">
        <v>21</v>
      </c>
    </row>
    <row r="83" spans="1:14" ht="28.8" x14ac:dyDescent="0.3">
      <c r="A83" s="4">
        <v>82</v>
      </c>
      <c r="B83" s="4">
        <v>18</v>
      </c>
      <c r="C83" s="4" t="s">
        <v>22</v>
      </c>
      <c r="D83" s="5">
        <v>2.9</v>
      </c>
      <c r="E83" s="4" t="s">
        <v>23</v>
      </c>
      <c r="F83" s="5">
        <v>5.4</v>
      </c>
      <c r="G83" s="4" t="s">
        <v>24</v>
      </c>
      <c r="H83" s="4"/>
      <c r="I83" s="5">
        <v>2.7</v>
      </c>
      <c r="J83" s="6">
        <v>6</v>
      </c>
      <c r="K83" s="4" t="s">
        <v>39</v>
      </c>
      <c r="L83" s="4" t="s">
        <v>30</v>
      </c>
      <c r="M83" s="4" t="s">
        <v>36</v>
      </c>
      <c r="N83" s="4" t="s">
        <v>21</v>
      </c>
    </row>
    <row r="84" spans="1:14" x14ac:dyDescent="0.3">
      <c r="A84" s="4">
        <v>83</v>
      </c>
      <c r="B84" s="4">
        <v>26</v>
      </c>
      <c r="C84" s="4" t="s">
        <v>14</v>
      </c>
      <c r="D84" s="5">
        <v>3.2</v>
      </c>
      <c r="E84" s="4" t="s">
        <v>15</v>
      </c>
      <c r="F84" s="5">
        <v>6.2</v>
      </c>
      <c r="G84" s="4" t="s">
        <v>28</v>
      </c>
      <c r="H84" s="4"/>
      <c r="I84" s="5">
        <v>2.5</v>
      </c>
      <c r="J84" s="6">
        <v>6</v>
      </c>
      <c r="K84" s="4" t="s">
        <v>18</v>
      </c>
      <c r="L84" s="4" t="s">
        <v>19</v>
      </c>
      <c r="M84" s="4" t="s">
        <v>45</v>
      </c>
      <c r="N84" s="4" t="s">
        <v>21</v>
      </c>
    </row>
    <row r="85" spans="1:14" x14ac:dyDescent="0.3">
      <c r="A85" s="4">
        <v>84</v>
      </c>
      <c r="B85" s="4">
        <v>20</v>
      </c>
      <c r="C85" s="4" t="s">
        <v>22</v>
      </c>
      <c r="D85" s="5">
        <v>7.7</v>
      </c>
      <c r="E85" s="4" t="s">
        <v>23</v>
      </c>
      <c r="F85" s="5">
        <v>10.6</v>
      </c>
      <c r="G85" s="4" t="s">
        <v>38</v>
      </c>
      <c r="H85" s="4"/>
      <c r="I85" s="5">
        <v>5.2</v>
      </c>
      <c r="J85" s="6">
        <v>5</v>
      </c>
      <c r="K85" s="4" t="s">
        <v>33</v>
      </c>
      <c r="L85" s="4" t="s">
        <v>25</v>
      </c>
      <c r="M85" s="4" t="s">
        <v>20</v>
      </c>
      <c r="N85" s="4" t="s">
        <v>21</v>
      </c>
    </row>
    <row r="86" spans="1:14" x14ac:dyDescent="0.3">
      <c r="A86" s="4">
        <v>85</v>
      </c>
      <c r="B86" s="4">
        <v>21</v>
      </c>
      <c r="C86" s="4" t="s">
        <v>22</v>
      </c>
      <c r="D86" s="5">
        <v>8.1999999999999993</v>
      </c>
      <c r="E86" s="4" t="s">
        <v>42</v>
      </c>
      <c r="F86" s="5">
        <v>11.3</v>
      </c>
      <c r="G86" s="4" t="s">
        <v>16</v>
      </c>
      <c r="H86" s="4" t="s">
        <v>48</v>
      </c>
      <c r="I86" s="5">
        <v>5.3</v>
      </c>
      <c r="J86" s="6">
        <v>4</v>
      </c>
      <c r="K86" s="4" t="s">
        <v>33</v>
      </c>
      <c r="L86" s="4" t="s">
        <v>25</v>
      </c>
      <c r="M86" s="4" t="s">
        <v>36</v>
      </c>
      <c r="N86" s="4" t="s">
        <v>21</v>
      </c>
    </row>
    <row r="87" spans="1:14" ht="28.8" x14ac:dyDescent="0.3">
      <c r="A87" s="4">
        <v>86</v>
      </c>
      <c r="B87" s="4">
        <v>25</v>
      </c>
      <c r="C87" s="4" t="s">
        <v>22</v>
      </c>
      <c r="D87" s="5">
        <v>6.9</v>
      </c>
      <c r="E87" s="4" t="s">
        <v>42</v>
      </c>
      <c r="F87" s="5">
        <v>9.6</v>
      </c>
      <c r="G87" s="4" t="s">
        <v>24</v>
      </c>
      <c r="H87" s="4"/>
      <c r="I87" s="5">
        <v>4.9000000000000004</v>
      </c>
      <c r="J87" s="6">
        <v>4</v>
      </c>
      <c r="K87" s="4" t="s">
        <v>29</v>
      </c>
      <c r="L87" s="4" t="s">
        <v>25</v>
      </c>
      <c r="M87" s="4" t="s">
        <v>36</v>
      </c>
      <c r="N87" s="4" t="s">
        <v>21</v>
      </c>
    </row>
    <row r="88" spans="1:14" x14ac:dyDescent="0.3">
      <c r="A88" s="4">
        <v>87</v>
      </c>
      <c r="B88" s="4">
        <v>19</v>
      </c>
      <c r="C88" s="4" t="s">
        <v>22</v>
      </c>
      <c r="D88" s="5">
        <v>6.5</v>
      </c>
      <c r="E88" s="4" t="s">
        <v>27</v>
      </c>
      <c r="F88" s="5">
        <v>4.5</v>
      </c>
      <c r="G88" s="4" t="s">
        <v>32</v>
      </c>
      <c r="H88" s="4"/>
      <c r="I88" s="5">
        <v>3.5</v>
      </c>
      <c r="J88" s="6">
        <v>9</v>
      </c>
      <c r="K88" s="4" t="s">
        <v>39</v>
      </c>
      <c r="L88" s="4" t="s">
        <v>25</v>
      </c>
      <c r="M88" s="4" t="s">
        <v>20</v>
      </c>
      <c r="N88" s="4" t="s">
        <v>21</v>
      </c>
    </row>
    <row r="89" spans="1:14" x14ac:dyDescent="0.3">
      <c r="A89" s="4">
        <v>88</v>
      </c>
      <c r="B89" s="4">
        <v>20</v>
      </c>
      <c r="C89" s="4" t="s">
        <v>22</v>
      </c>
      <c r="D89" s="5">
        <v>8.1999999999999993</v>
      </c>
      <c r="E89" s="4" t="s">
        <v>34</v>
      </c>
      <c r="F89" s="5">
        <v>11.3</v>
      </c>
      <c r="G89" s="4" t="s">
        <v>32</v>
      </c>
      <c r="H89" s="4"/>
      <c r="I89" s="5">
        <v>7</v>
      </c>
      <c r="J89" s="6">
        <v>3</v>
      </c>
      <c r="K89" s="4" t="s">
        <v>33</v>
      </c>
      <c r="L89" s="4" t="s">
        <v>30</v>
      </c>
      <c r="M89" s="4" t="s">
        <v>20</v>
      </c>
      <c r="N89" s="4" t="s">
        <v>21</v>
      </c>
    </row>
    <row r="90" spans="1:14" x14ac:dyDescent="0.3">
      <c r="A90" s="4">
        <v>89</v>
      </c>
      <c r="B90" s="4">
        <v>38</v>
      </c>
      <c r="C90" s="4" t="s">
        <v>14</v>
      </c>
      <c r="D90" s="5">
        <v>5</v>
      </c>
      <c r="E90" s="4" t="s">
        <v>15</v>
      </c>
      <c r="F90" s="5">
        <v>5</v>
      </c>
      <c r="G90" s="4" t="s">
        <v>38</v>
      </c>
      <c r="H90" s="4"/>
      <c r="I90" s="5">
        <v>4</v>
      </c>
      <c r="J90" s="6">
        <v>7</v>
      </c>
      <c r="K90" s="4" t="s">
        <v>18</v>
      </c>
      <c r="L90" s="4" t="s">
        <v>19</v>
      </c>
      <c r="M90" s="4" t="s">
        <v>20</v>
      </c>
      <c r="N90" s="4" t="s">
        <v>21</v>
      </c>
    </row>
    <row r="91" spans="1:14" x14ac:dyDescent="0.3">
      <c r="A91" s="4">
        <v>90</v>
      </c>
      <c r="B91" s="4">
        <v>38</v>
      </c>
      <c r="C91" s="4" t="s">
        <v>14</v>
      </c>
      <c r="D91" s="5">
        <v>5</v>
      </c>
      <c r="E91" s="4" t="s">
        <v>15</v>
      </c>
      <c r="F91" s="5">
        <v>5</v>
      </c>
      <c r="G91" s="4" t="s">
        <v>38</v>
      </c>
      <c r="H91" s="4"/>
      <c r="I91" s="5">
        <v>4</v>
      </c>
      <c r="J91" s="6">
        <v>7</v>
      </c>
      <c r="K91" s="4" t="s">
        <v>18</v>
      </c>
      <c r="L91" s="4" t="s">
        <v>19</v>
      </c>
      <c r="M91" s="4" t="s">
        <v>20</v>
      </c>
      <c r="N91" s="4" t="s">
        <v>21</v>
      </c>
    </row>
    <row r="92" spans="1:14" x14ac:dyDescent="0.3">
      <c r="A92" s="4">
        <v>91</v>
      </c>
      <c r="B92" s="4">
        <v>38</v>
      </c>
      <c r="C92" s="4" t="s">
        <v>14</v>
      </c>
      <c r="D92" s="5">
        <v>5</v>
      </c>
      <c r="E92" s="4" t="s">
        <v>15</v>
      </c>
      <c r="F92" s="5">
        <v>5</v>
      </c>
      <c r="G92" s="4" t="s">
        <v>38</v>
      </c>
      <c r="H92" s="4"/>
      <c r="I92" s="5">
        <v>4</v>
      </c>
      <c r="J92" s="6">
        <v>7</v>
      </c>
      <c r="K92" s="4" t="s">
        <v>18</v>
      </c>
      <c r="L92" s="4" t="s">
        <v>19</v>
      </c>
      <c r="M92" s="4" t="s">
        <v>20</v>
      </c>
      <c r="N92" s="4" t="s">
        <v>21</v>
      </c>
    </row>
    <row r="93" spans="1:14" x14ac:dyDescent="0.3">
      <c r="A93" s="4">
        <v>92</v>
      </c>
      <c r="B93" s="4">
        <v>25</v>
      </c>
      <c r="C93" s="4" t="s">
        <v>14</v>
      </c>
      <c r="D93" s="5">
        <v>9</v>
      </c>
      <c r="E93" s="4" t="s">
        <v>34</v>
      </c>
      <c r="F93" s="5">
        <v>9</v>
      </c>
      <c r="G93" s="4" t="s">
        <v>28</v>
      </c>
      <c r="H93" s="4"/>
      <c r="I93" s="5">
        <v>2.5</v>
      </c>
      <c r="J93" s="6">
        <v>5</v>
      </c>
      <c r="K93" s="4" t="s">
        <v>33</v>
      </c>
      <c r="L93" s="4" t="s">
        <v>19</v>
      </c>
      <c r="M93" s="4" t="s">
        <v>20</v>
      </c>
      <c r="N93" s="4" t="s">
        <v>21</v>
      </c>
    </row>
    <row r="94" spans="1:14" x14ac:dyDescent="0.3">
      <c r="A94" s="4">
        <v>93</v>
      </c>
      <c r="B94" s="4">
        <v>25</v>
      </c>
      <c r="C94" s="4" t="s">
        <v>22</v>
      </c>
      <c r="D94" s="5">
        <v>4</v>
      </c>
      <c r="E94" s="4" t="s">
        <v>37</v>
      </c>
      <c r="F94" s="5">
        <v>6</v>
      </c>
      <c r="G94" s="4" t="s">
        <v>32</v>
      </c>
      <c r="H94" s="4"/>
      <c r="I94" s="5">
        <v>2.5</v>
      </c>
      <c r="J94" s="6">
        <v>7</v>
      </c>
      <c r="K94" s="4" t="s">
        <v>33</v>
      </c>
      <c r="L94" s="4" t="s">
        <v>19</v>
      </c>
      <c r="M94" s="4" t="s">
        <v>20</v>
      </c>
      <c r="N94" s="4" t="s">
        <v>21</v>
      </c>
    </row>
    <row r="95" spans="1:14" x14ac:dyDescent="0.3">
      <c r="A95" s="4">
        <v>94</v>
      </c>
      <c r="B95" s="4">
        <v>25</v>
      </c>
      <c r="C95" s="4" t="s">
        <v>14</v>
      </c>
      <c r="D95" s="5">
        <v>5</v>
      </c>
      <c r="E95" s="4" t="s">
        <v>27</v>
      </c>
      <c r="F95" s="5">
        <v>7</v>
      </c>
      <c r="G95" s="4" t="s">
        <v>28</v>
      </c>
      <c r="H95" s="4"/>
      <c r="I95" s="5">
        <v>3.5</v>
      </c>
      <c r="J95" s="6">
        <v>1</v>
      </c>
      <c r="K95" s="4" t="s">
        <v>39</v>
      </c>
      <c r="L95" s="4" t="s">
        <v>45</v>
      </c>
      <c r="M95" s="4" t="s">
        <v>36</v>
      </c>
      <c r="N95" s="4" t="s">
        <v>21</v>
      </c>
    </row>
    <row r="96" spans="1:14" x14ac:dyDescent="0.3">
      <c r="A96" s="4">
        <v>95</v>
      </c>
      <c r="B96" s="4">
        <v>23</v>
      </c>
      <c r="C96" s="4" t="s">
        <v>14</v>
      </c>
      <c r="D96" s="5">
        <v>8.5</v>
      </c>
      <c r="E96" s="4" t="s">
        <v>27</v>
      </c>
      <c r="F96" s="5">
        <v>8.4</v>
      </c>
      <c r="G96" s="4" t="s">
        <v>28</v>
      </c>
      <c r="H96" s="4"/>
      <c r="I96" s="5">
        <v>3.5</v>
      </c>
      <c r="J96" s="6">
        <v>9</v>
      </c>
      <c r="K96" s="4" t="s">
        <v>39</v>
      </c>
      <c r="L96" s="4" t="s">
        <v>19</v>
      </c>
      <c r="M96" s="4" t="s">
        <v>20</v>
      </c>
      <c r="N96" s="4" t="s">
        <v>21</v>
      </c>
    </row>
    <row r="97" spans="1:14" x14ac:dyDescent="0.3">
      <c r="A97" s="4">
        <v>96</v>
      </c>
      <c r="B97" s="4">
        <v>16</v>
      </c>
      <c r="C97" s="4" t="s">
        <v>14</v>
      </c>
      <c r="D97" s="5">
        <v>1</v>
      </c>
      <c r="E97" s="4" t="s">
        <v>23</v>
      </c>
      <c r="F97" s="5">
        <v>1.5</v>
      </c>
      <c r="G97" s="4" t="s">
        <v>16</v>
      </c>
      <c r="H97" s="4" t="s">
        <v>49</v>
      </c>
      <c r="I97" s="5">
        <v>1</v>
      </c>
      <c r="J97" s="6">
        <v>1</v>
      </c>
      <c r="K97" s="4" t="s">
        <v>29</v>
      </c>
      <c r="L97" s="4" t="s">
        <v>45</v>
      </c>
      <c r="M97" s="4" t="s">
        <v>45</v>
      </c>
      <c r="N97" s="4" t="s">
        <v>21</v>
      </c>
    </row>
    <row r="98" spans="1:14" x14ac:dyDescent="0.3">
      <c r="A98" s="4">
        <v>97</v>
      </c>
      <c r="B98" s="4">
        <v>22</v>
      </c>
      <c r="C98" s="4" t="s">
        <v>22</v>
      </c>
      <c r="D98" s="5">
        <v>3.5</v>
      </c>
      <c r="E98" s="4" t="s">
        <v>34</v>
      </c>
      <c r="F98" s="5">
        <v>5</v>
      </c>
      <c r="G98" s="4" t="s">
        <v>38</v>
      </c>
      <c r="H98" s="4"/>
      <c r="I98" s="5">
        <v>2</v>
      </c>
      <c r="J98" s="6">
        <v>10</v>
      </c>
      <c r="K98" s="4" t="s">
        <v>18</v>
      </c>
      <c r="L98" s="4" t="s">
        <v>19</v>
      </c>
      <c r="M98" s="4" t="s">
        <v>30</v>
      </c>
      <c r="N98" s="4" t="s">
        <v>21</v>
      </c>
    </row>
    <row r="99" spans="1:14" x14ac:dyDescent="0.3">
      <c r="A99" s="4">
        <v>98</v>
      </c>
      <c r="B99" s="4">
        <v>21</v>
      </c>
      <c r="C99" s="4" t="s">
        <v>14</v>
      </c>
      <c r="D99" s="5">
        <v>6</v>
      </c>
      <c r="E99" s="4" t="s">
        <v>23</v>
      </c>
      <c r="F99" s="5">
        <v>7.3</v>
      </c>
      <c r="G99" s="4" t="s">
        <v>28</v>
      </c>
      <c r="H99" s="4"/>
      <c r="I99" s="5">
        <v>2.4</v>
      </c>
      <c r="J99" s="6">
        <v>2</v>
      </c>
      <c r="K99" s="4" t="s">
        <v>18</v>
      </c>
      <c r="L99" s="4" t="s">
        <v>25</v>
      </c>
      <c r="M99" s="4" t="s">
        <v>20</v>
      </c>
      <c r="N99" s="4" t="s">
        <v>21</v>
      </c>
    </row>
    <row r="100" spans="1:14" x14ac:dyDescent="0.3">
      <c r="A100" s="4">
        <v>99</v>
      </c>
      <c r="B100" s="4">
        <v>26</v>
      </c>
      <c r="C100" s="4" t="s">
        <v>40</v>
      </c>
      <c r="D100" s="5">
        <v>6.8</v>
      </c>
      <c r="E100" s="4" t="s">
        <v>37</v>
      </c>
      <c r="F100" s="5">
        <v>12.6</v>
      </c>
      <c r="G100" s="4" t="s">
        <v>43</v>
      </c>
      <c r="H100" s="4"/>
      <c r="I100" s="5">
        <v>8</v>
      </c>
      <c r="J100" s="6">
        <v>2</v>
      </c>
      <c r="K100" s="4" t="s">
        <v>39</v>
      </c>
      <c r="L100" s="4" t="s">
        <v>19</v>
      </c>
      <c r="M100" s="4" t="s">
        <v>30</v>
      </c>
      <c r="N100" s="4" t="s">
        <v>21</v>
      </c>
    </row>
    <row r="101" spans="1:14" x14ac:dyDescent="0.3">
      <c r="A101" s="4">
        <v>100</v>
      </c>
      <c r="B101" s="4">
        <v>24</v>
      </c>
      <c r="C101" s="4" t="s">
        <v>22</v>
      </c>
      <c r="D101" s="5">
        <v>5</v>
      </c>
      <c r="E101" s="4" t="s">
        <v>34</v>
      </c>
      <c r="F101" s="5">
        <v>5.6</v>
      </c>
      <c r="G101" s="4" t="s">
        <v>32</v>
      </c>
      <c r="H101" s="4"/>
      <c r="I101" s="5">
        <v>2.2000000000000002</v>
      </c>
      <c r="J101" s="6">
        <v>9</v>
      </c>
      <c r="K101" s="4" t="s">
        <v>18</v>
      </c>
      <c r="L101" s="4" t="s">
        <v>30</v>
      </c>
      <c r="M101" s="4" t="s">
        <v>45</v>
      </c>
      <c r="N101" s="4" t="s">
        <v>21</v>
      </c>
    </row>
    <row r="102" spans="1:14" x14ac:dyDescent="0.3">
      <c r="A102" s="4">
        <v>101</v>
      </c>
      <c r="B102" s="4">
        <v>22</v>
      </c>
      <c r="C102" s="4" t="s">
        <v>22</v>
      </c>
      <c r="D102" s="5">
        <v>6.3</v>
      </c>
      <c r="E102" s="4" t="s">
        <v>15</v>
      </c>
      <c r="F102" s="5">
        <v>10.4</v>
      </c>
      <c r="G102" s="4" t="s">
        <v>43</v>
      </c>
      <c r="H102" s="4"/>
      <c r="I102" s="5">
        <v>1.9</v>
      </c>
      <c r="J102" s="6">
        <v>4</v>
      </c>
      <c r="K102" s="4" t="s">
        <v>39</v>
      </c>
      <c r="L102" s="4" t="s">
        <v>19</v>
      </c>
      <c r="M102" s="4" t="s">
        <v>36</v>
      </c>
      <c r="N102" s="4" t="s">
        <v>21</v>
      </c>
    </row>
    <row r="103" spans="1:14" x14ac:dyDescent="0.3">
      <c r="A103" s="4">
        <v>102</v>
      </c>
      <c r="B103" s="4">
        <v>35</v>
      </c>
      <c r="C103" s="4" t="s">
        <v>14</v>
      </c>
      <c r="D103" s="5">
        <v>5.7</v>
      </c>
      <c r="E103" s="4" t="s">
        <v>42</v>
      </c>
      <c r="F103" s="5">
        <v>12.3</v>
      </c>
      <c r="G103" s="4" t="s">
        <v>32</v>
      </c>
      <c r="H103" s="4"/>
      <c r="I103" s="5">
        <v>4.8</v>
      </c>
      <c r="J103" s="6">
        <v>10</v>
      </c>
      <c r="K103" s="4" t="s">
        <v>39</v>
      </c>
      <c r="L103" s="4" t="s">
        <v>19</v>
      </c>
      <c r="M103" s="4" t="s">
        <v>36</v>
      </c>
      <c r="N103" s="4" t="s">
        <v>21</v>
      </c>
    </row>
    <row r="104" spans="1:14" x14ac:dyDescent="0.3">
      <c r="A104" s="4">
        <v>103</v>
      </c>
      <c r="B104" s="4">
        <v>19</v>
      </c>
      <c r="C104" s="4" t="s">
        <v>40</v>
      </c>
      <c r="D104" s="5">
        <v>7.1</v>
      </c>
      <c r="E104" s="4" t="s">
        <v>27</v>
      </c>
      <c r="F104" s="5">
        <v>13.5</v>
      </c>
      <c r="G104" s="4" t="s">
        <v>28</v>
      </c>
      <c r="H104" s="4"/>
      <c r="I104" s="5">
        <v>4.3</v>
      </c>
      <c r="J104" s="6">
        <v>5</v>
      </c>
      <c r="K104" s="4" t="s">
        <v>39</v>
      </c>
      <c r="L104" s="4" t="s">
        <v>30</v>
      </c>
      <c r="M104" s="4" t="s">
        <v>36</v>
      </c>
      <c r="N104" s="4" t="s">
        <v>21</v>
      </c>
    </row>
    <row r="105" spans="1:14" x14ac:dyDescent="0.3">
      <c r="A105" s="4">
        <v>104</v>
      </c>
      <c r="B105" s="4">
        <v>24</v>
      </c>
      <c r="C105" s="4" t="s">
        <v>40</v>
      </c>
      <c r="D105" s="5">
        <v>7</v>
      </c>
      <c r="E105" s="4" t="s">
        <v>15</v>
      </c>
      <c r="F105" s="5">
        <v>9</v>
      </c>
      <c r="G105" s="4" t="s">
        <v>32</v>
      </c>
      <c r="H105" s="4"/>
      <c r="I105" s="5">
        <v>1.6</v>
      </c>
      <c r="J105" s="6">
        <v>10</v>
      </c>
      <c r="K105" s="4" t="s">
        <v>18</v>
      </c>
      <c r="L105" s="4" t="s">
        <v>45</v>
      </c>
      <c r="M105" s="4" t="s">
        <v>45</v>
      </c>
      <c r="N105" s="4" t="s">
        <v>21</v>
      </c>
    </row>
    <row r="106" spans="1:14" x14ac:dyDescent="0.3">
      <c r="A106" s="4">
        <v>105</v>
      </c>
      <c r="B106" s="4">
        <v>18</v>
      </c>
      <c r="C106" s="4" t="s">
        <v>22</v>
      </c>
      <c r="D106" s="5">
        <v>6.1</v>
      </c>
      <c r="E106" s="4" t="s">
        <v>15</v>
      </c>
      <c r="F106" s="5">
        <v>8.6</v>
      </c>
      <c r="G106" s="4" t="s">
        <v>41</v>
      </c>
      <c r="H106" s="4"/>
      <c r="I106" s="5">
        <v>6.9</v>
      </c>
      <c r="J106" s="6">
        <v>5</v>
      </c>
      <c r="K106" s="4" t="s">
        <v>33</v>
      </c>
      <c r="L106" s="4" t="s">
        <v>19</v>
      </c>
      <c r="M106" s="4" t="s">
        <v>20</v>
      </c>
      <c r="N106" s="4" t="s">
        <v>21</v>
      </c>
    </row>
    <row r="107" spans="1:14" x14ac:dyDescent="0.3">
      <c r="A107" s="4">
        <v>106</v>
      </c>
      <c r="B107" s="4">
        <v>24</v>
      </c>
      <c r="C107" s="4" t="s">
        <v>40</v>
      </c>
      <c r="D107" s="5">
        <v>5</v>
      </c>
      <c r="E107" s="4" t="s">
        <v>44</v>
      </c>
      <c r="F107" s="5">
        <v>11.2</v>
      </c>
      <c r="G107" s="4" t="s">
        <v>43</v>
      </c>
      <c r="H107" s="4"/>
      <c r="I107" s="5">
        <v>5.9</v>
      </c>
      <c r="J107" s="6">
        <v>10</v>
      </c>
      <c r="K107" s="4" t="s">
        <v>33</v>
      </c>
      <c r="L107" s="4" t="s">
        <v>19</v>
      </c>
      <c r="M107" s="4" t="s">
        <v>30</v>
      </c>
      <c r="N107" s="4" t="s">
        <v>21</v>
      </c>
    </row>
    <row r="108" spans="1:14" x14ac:dyDescent="0.3">
      <c r="A108" s="4">
        <v>107</v>
      </c>
      <c r="B108" s="4">
        <v>31</v>
      </c>
      <c r="C108" s="4" t="s">
        <v>40</v>
      </c>
      <c r="D108" s="5">
        <v>9</v>
      </c>
      <c r="E108" s="4" t="s">
        <v>44</v>
      </c>
      <c r="F108" s="5">
        <v>7.8</v>
      </c>
      <c r="G108" s="4" t="s">
        <v>38</v>
      </c>
      <c r="H108" s="4"/>
      <c r="I108" s="5">
        <v>2.7</v>
      </c>
      <c r="J108" s="6">
        <v>6</v>
      </c>
      <c r="K108" s="4" t="s">
        <v>39</v>
      </c>
      <c r="L108" s="4" t="s">
        <v>19</v>
      </c>
      <c r="M108" s="4" t="s">
        <v>45</v>
      </c>
      <c r="N108" s="4" t="s">
        <v>21</v>
      </c>
    </row>
    <row r="109" spans="1:14" x14ac:dyDescent="0.3">
      <c r="A109" s="4">
        <v>108</v>
      </c>
      <c r="B109" s="4">
        <v>26</v>
      </c>
      <c r="C109" s="4" t="s">
        <v>40</v>
      </c>
      <c r="D109" s="5">
        <v>9.1999999999999993</v>
      </c>
      <c r="E109" s="4" t="s">
        <v>42</v>
      </c>
      <c r="F109" s="5">
        <v>14</v>
      </c>
      <c r="G109" s="4" t="s">
        <v>32</v>
      </c>
      <c r="H109" s="4"/>
      <c r="I109" s="5">
        <v>7.3</v>
      </c>
      <c r="J109" s="6">
        <v>5</v>
      </c>
      <c r="K109" s="4" t="s">
        <v>29</v>
      </c>
      <c r="L109" s="4" t="s">
        <v>45</v>
      </c>
      <c r="M109" s="4" t="s">
        <v>30</v>
      </c>
      <c r="N109" s="4" t="s">
        <v>21</v>
      </c>
    </row>
    <row r="110" spans="1:14" x14ac:dyDescent="0.3">
      <c r="A110" s="4">
        <v>109</v>
      </c>
      <c r="B110" s="4">
        <v>19</v>
      </c>
      <c r="C110" s="4" t="s">
        <v>14</v>
      </c>
      <c r="D110" s="5">
        <v>3.9</v>
      </c>
      <c r="E110" s="4" t="s">
        <v>44</v>
      </c>
      <c r="F110" s="5">
        <v>8</v>
      </c>
      <c r="G110" s="4" t="s">
        <v>46</v>
      </c>
      <c r="H110" s="4"/>
      <c r="I110" s="5">
        <v>1.1000000000000001</v>
      </c>
      <c r="J110" s="6">
        <v>10</v>
      </c>
      <c r="K110" s="4" t="s">
        <v>29</v>
      </c>
      <c r="L110" s="4" t="s">
        <v>45</v>
      </c>
      <c r="M110" s="4" t="s">
        <v>30</v>
      </c>
      <c r="N110" s="4" t="s">
        <v>21</v>
      </c>
    </row>
    <row r="111" spans="1:14" ht="28.8" x14ac:dyDescent="0.3">
      <c r="A111" s="4">
        <v>110</v>
      </c>
      <c r="B111" s="4">
        <v>20</v>
      </c>
      <c r="C111" s="4" t="s">
        <v>40</v>
      </c>
      <c r="D111" s="5">
        <v>6.5</v>
      </c>
      <c r="E111" s="4" t="s">
        <v>23</v>
      </c>
      <c r="F111" s="5">
        <v>9.6999999999999993</v>
      </c>
      <c r="G111" s="4" t="s">
        <v>24</v>
      </c>
      <c r="H111" s="4"/>
      <c r="I111" s="5">
        <v>5.5</v>
      </c>
      <c r="J111" s="6">
        <v>2</v>
      </c>
      <c r="K111" s="4" t="s">
        <v>18</v>
      </c>
      <c r="L111" s="4" t="s">
        <v>25</v>
      </c>
      <c r="M111" s="4" t="s">
        <v>30</v>
      </c>
      <c r="N111" s="4" t="s">
        <v>21</v>
      </c>
    </row>
    <row r="112" spans="1:14" x14ac:dyDescent="0.3">
      <c r="A112" s="4">
        <v>111</v>
      </c>
      <c r="B112" s="4">
        <v>26</v>
      </c>
      <c r="C112" s="4" t="s">
        <v>14</v>
      </c>
      <c r="D112" s="5">
        <v>6.7</v>
      </c>
      <c r="E112" s="4" t="s">
        <v>15</v>
      </c>
      <c r="F112" s="5">
        <v>11.9</v>
      </c>
      <c r="G112" s="4" t="s">
        <v>47</v>
      </c>
      <c r="H112" s="4"/>
      <c r="I112" s="5">
        <v>4.4000000000000004</v>
      </c>
      <c r="J112" s="6">
        <v>10</v>
      </c>
      <c r="K112" s="4" t="s">
        <v>29</v>
      </c>
      <c r="L112" s="4" t="s">
        <v>30</v>
      </c>
      <c r="M112" s="4" t="s">
        <v>36</v>
      </c>
      <c r="N112" s="4" t="s">
        <v>21</v>
      </c>
    </row>
    <row r="113" spans="1:14" x14ac:dyDescent="0.3">
      <c r="A113" s="4">
        <v>112</v>
      </c>
      <c r="B113" s="4">
        <v>22</v>
      </c>
      <c r="C113" s="4" t="s">
        <v>14</v>
      </c>
      <c r="D113" s="5">
        <v>4.0999999999999996</v>
      </c>
      <c r="E113" s="4" t="s">
        <v>44</v>
      </c>
      <c r="F113" s="5">
        <v>4.8</v>
      </c>
      <c r="G113" s="4" t="s">
        <v>32</v>
      </c>
      <c r="H113" s="4"/>
      <c r="I113" s="5">
        <v>7.1</v>
      </c>
      <c r="J113" s="6">
        <v>10</v>
      </c>
      <c r="K113" s="4" t="s">
        <v>29</v>
      </c>
      <c r="L113" s="4" t="s">
        <v>30</v>
      </c>
      <c r="M113" s="4" t="s">
        <v>36</v>
      </c>
      <c r="N113" s="4" t="s">
        <v>21</v>
      </c>
    </row>
    <row r="114" spans="1:14" x14ac:dyDescent="0.3">
      <c r="A114" s="4">
        <v>113</v>
      </c>
      <c r="B114" s="4">
        <v>26</v>
      </c>
      <c r="C114" s="4" t="s">
        <v>40</v>
      </c>
      <c r="D114" s="5">
        <v>3.1</v>
      </c>
      <c r="E114" s="4" t="s">
        <v>42</v>
      </c>
      <c r="F114" s="5">
        <v>10.8</v>
      </c>
      <c r="G114" s="4" t="s">
        <v>28</v>
      </c>
      <c r="H114" s="4"/>
      <c r="I114" s="5">
        <v>3.7</v>
      </c>
      <c r="J114" s="6">
        <v>7</v>
      </c>
      <c r="K114" s="4" t="s">
        <v>39</v>
      </c>
      <c r="L114" s="4" t="s">
        <v>25</v>
      </c>
      <c r="M114" s="4" t="s">
        <v>20</v>
      </c>
      <c r="N114" s="4" t="s">
        <v>21</v>
      </c>
    </row>
    <row r="115" spans="1:14" x14ac:dyDescent="0.3">
      <c r="A115" s="4">
        <v>114</v>
      </c>
      <c r="B115" s="4">
        <v>18</v>
      </c>
      <c r="C115" s="4" t="s">
        <v>14</v>
      </c>
      <c r="D115" s="5">
        <v>3.9</v>
      </c>
      <c r="E115" s="4" t="s">
        <v>34</v>
      </c>
      <c r="F115" s="5">
        <v>12.3</v>
      </c>
      <c r="G115" s="4" t="s">
        <v>47</v>
      </c>
      <c r="H115" s="4"/>
      <c r="I115" s="5">
        <v>3.4</v>
      </c>
      <c r="J115" s="6">
        <v>6</v>
      </c>
      <c r="K115" s="4" t="s">
        <v>29</v>
      </c>
      <c r="L115" s="4" t="s">
        <v>25</v>
      </c>
      <c r="M115" s="4" t="s">
        <v>45</v>
      </c>
      <c r="N115" s="4" t="s">
        <v>21</v>
      </c>
    </row>
    <row r="116" spans="1:14" x14ac:dyDescent="0.3">
      <c r="A116" s="4">
        <v>115</v>
      </c>
      <c r="B116" s="4">
        <v>16</v>
      </c>
      <c r="C116" s="4" t="s">
        <v>22</v>
      </c>
      <c r="D116" s="5">
        <v>8.4</v>
      </c>
      <c r="E116" s="4" t="s">
        <v>34</v>
      </c>
      <c r="F116" s="5">
        <v>7.3</v>
      </c>
      <c r="G116" s="4" t="s">
        <v>43</v>
      </c>
      <c r="H116" s="4"/>
      <c r="I116" s="5">
        <v>2.9</v>
      </c>
      <c r="J116" s="6">
        <v>9</v>
      </c>
      <c r="K116" s="4" t="s">
        <v>18</v>
      </c>
      <c r="L116" s="4" t="s">
        <v>30</v>
      </c>
      <c r="M116" s="4" t="s">
        <v>30</v>
      </c>
      <c r="N116" s="4" t="s">
        <v>21</v>
      </c>
    </row>
    <row r="117" spans="1:14" x14ac:dyDescent="0.3">
      <c r="A117" s="4">
        <v>116</v>
      </c>
      <c r="B117" s="4">
        <v>29</v>
      </c>
      <c r="C117" s="4" t="s">
        <v>22</v>
      </c>
      <c r="D117" s="5">
        <v>7.9</v>
      </c>
      <c r="E117" s="4" t="s">
        <v>15</v>
      </c>
      <c r="F117" s="5">
        <v>6.1</v>
      </c>
      <c r="G117" s="4" t="s">
        <v>32</v>
      </c>
      <c r="H117" s="4"/>
      <c r="I117" s="5">
        <v>2.8</v>
      </c>
      <c r="J117" s="6">
        <v>8</v>
      </c>
      <c r="K117" s="4" t="s">
        <v>39</v>
      </c>
      <c r="L117" s="4" t="s">
        <v>30</v>
      </c>
      <c r="M117" s="4" t="s">
        <v>36</v>
      </c>
      <c r="N117" s="4" t="s">
        <v>21</v>
      </c>
    </row>
    <row r="118" spans="1:14" x14ac:dyDescent="0.3">
      <c r="A118" s="4">
        <v>117</v>
      </c>
      <c r="B118" s="4">
        <v>18</v>
      </c>
      <c r="C118" s="4" t="s">
        <v>40</v>
      </c>
      <c r="D118" s="5">
        <v>5.6</v>
      </c>
      <c r="E118" s="4" t="s">
        <v>44</v>
      </c>
      <c r="F118" s="5">
        <v>10.7</v>
      </c>
      <c r="G118" s="4" t="s">
        <v>47</v>
      </c>
      <c r="H118" s="4"/>
      <c r="I118" s="5">
        <v>5.7</v>
      </c>
      <c r="J118" s="6">
        <v>4</v>
      </c>
      <c r="K118" s="4" t="s">
        <v>18</v>
      </c>
      <c r="L118" s="4" t="s">
        <v>30</v>
      </c>
      <c r="M118" s="4" t="s">
        <v>45</v>
      </c>
      <c r="N118" s="4" t="s">
        <v>21</v>
      </c>
    </row>
    <row r="119" spans="1:14" x14ac:dyDescent="0.3">
      <c r="A119" s="4">
        <v>118</v>
      </c>
      <c r="B119" s="4">
        <v>17</v>
      </c>
      <c r="C119" s="4" t="s">
        <v>22</v>
      </c>
      <c r="D119" s="5">
        <v>6.3</v>
      </c>
      <c r="E119" s="4" t="s">
        <v>42</v>
      </c>
      <c r="F119" s="5">
        <v>11.5</v>
      </c>
      <c r="G119" s="4" t="s">
        <v>46</v>
      </c>
      <c r="H119" s="4"/>
      <c r="I119" s="5">
        <v>6.6</v>
      </c>
      <c r="J119" s="6">
        <v>5</v>
      </c>
      <c r="K119" s="4" t="s">
        <v>18</v>
      </c>
      <c r="L119" s="4" t="s">
        <v>19</v>
      </c>
      <c r="M119" s="4" t="s">
        <v>36</v>
      </c>
      <c r="N119" s="4" t="s">
        <v>21</v>
      </c>
    </row>
    <row r="120" spans="1:14" x14ac:dyDescent="0.3">
      <c r="A120" s="4">
        <v>119</v>
      </c>
      <c r="B120" s="4">
        <v>32</v>
      </c>
      <c r="C120" s="4" t="s">
        <v>40</v>
      </c>
      <c r="D120" s="5">
        <v>7.9</v>
      </c>
      <c r="E120" s="4" t="s">
        <v>15</v>
      </c>
      <c r="F120" s="5">
        <v>4.7</v>
      </c>
      <c r="G120" s="4" t="s">
        <v>35</v>
      </c>
      <c r="H120" s="4"/>
      <c r="I120" s="5">
        <v>1.1000000000000001</v>
      </c>
      <c r="J120" s="6">
        <v>1</v>
      </c>
      <c r="K120" s="4" t="s">
        <v>18</v>
      </c>
      <c r="L120" s="4" t="s">
        <v>30</v>
      </c>
      <c r="M120" s="4" t="s">
        <v>45</v>
      </c>
      <c r="N120" s="4" t="s">
        <v>21</v>
      </c>
    </row>
    <row r="121" spans="1:14" x14ac:dyDescent="0.3">
      <c r="A121" s="4">
        <v>120</v>
      </c>
      <c r="B121" s="4">
        <v>19</v>
      </c>
      <c r="C121" s="4" t="s">
        <v>14</v>
      </c>
      <c r="D121" s="5">
        <v>6.9</v>
      </c>
      <c r="E121" s="4" t="s">
        <v>37</v>
      </c>
      <c r="F121" s="5">
        <v>11.6</v>
      </c>
      <c r="G121" s="4" t="s">
        <v>41</v>
      </c>
      <c r="H121" s="4"/>
      <c r="I121" s="5">
        <v>1.2</v>
      </c>
      <c r="J121" s="6">
        <v>6</v>
      </c>
      <c r="K121" s="4" t="s">
        <v>18</v>
      </c>
      <c r="L121" s="4" t="s">
        <v>25</v>
      </c>
      <c r="M121" s="4" t="s">
        <v>20</v>
      </c>
      <c r="N121" s="4" t="s">
        <v>21</v>
      </c>
    </row>
    <row r="122" spans="1:14" x14ac:dyDescent="0.3">
      <c r="A122" s="4">
        <v>121</v>
      </c>
      <c r="B122" s="4">
        <v>30</v>
      </c>
      <c r="C122" s="4" t="s">
        <v>40</v>
      </c>
      <c r="D122" s="5">
        <v>2.2000000000000002</v>
      </c>
      <c r="E122" s="4" t="s">
        <v>44</v>
      </c>
      <c r="F122" s="5">
        <v>5.7</v>
      </c>
      <c r="G122" s="4" t="s">
        <v>38</v>
      </c>
      <c r="H122" s="4"/>
      <c r="I122" s="5">
        <v>6.3</v>
      </c>
      <c r="J122" s="6">
        <v>7</v>
      </c>
      <c r="K122" s="4" t="s">
        <v>39</v>
      </c>
      <c r="L122" s="4" t="s">
        <v>19</v>
      </c>
      <c r="M122" s="4" t="s">
        <v>30</v>
      </c>
      <c r="N122" s="4" t="s">
        <v>21</v>
      </c>
    </row>
    <row r="123" spans="1:14" x14ac:dyDescent="0.3">
      <c r="A123" s="4">
        <v>122</v>
      </c>
      <c r="B123" s="4">
        <v>27</v>
      </c>
      <c r="C123" s="4" t="s">
        <v>40</v>
      </c>
      <c r="D123" s="5">
        <v>5.8</v>
      </c>
      <c r="E123" s="4" t="s">
        <v>44</v>
      </c>
      <c r="F123" s="5">
        <v>8</v>
      </c>
      <c r="G123" s="4" t="s">
        <v>46</v>
      </c>
      <c r="H123" s="4"/>
      <c r="I123" s="5">
        <v>6.3</v>
      </c>
      <c r="J123" s="6">
        <v>1</v>
      </c>
      <c r="K123" s="4" t="s">
        <v>29</v>
      </c>
      <c r="L123" s="4" t="s">
        <v>45</v>
      </c>
      <c r="M123" s="4" t="s">
        <v>36</v>
      </c>
      <c r="N123" s="4" t="s">
        <v>21</v>
      </c>
    </row>
    <row r="124" spans="1:14" x14ac:dyDescent="0.3">
      <c r="A124" s="4">
        <v>123</v>
      </c>
      <c r="B124" s="4">
        <v>20</v>
      </c>
      <c r="C124" s="4" t="s">
        <v>22</v>
      </c>
      <c r="D124" s="5">
        <v>5</v>
      </c>
      <c r="E124" s="4" t="s">
        <v>37</v>
      </c>
      <c r="F124" s="5">
        <v>6.4</v>
      </c>
      <c r="G124" s="4" t="s">
        <v>47</v>
      </c>
      <c r="H124" s="4"/>
      <c r="I124" s="5">
        <v>7.4</v>
      </c>
      <c r="J124" s="6">
        <v>2</v>
      </c>
      <c r="K124" s="4" t="s">
        <v>39</v>
      </c>
      <c r="L124" s="4" t="s">
        <v>45</v>
      </c>
      <c r="M124" s="4" t="s">
        <v>45</v>
      </c>
      <c r="N124" s="4" t="s">
        <v>21</v>
      </c>
    </row>
    <row r="125" spans="1:14" x14ac:dyDescent="0.3">
      <c r="A125" s="4">
        <v>124</v>
      </c>
      <c r="B125" s="4">
        <v>22</v>
      </c>
      <c r="C125" s="4" t="s">
        <v>14</v>
      </c>
      <c r="D125" s="5">
        <v>4.5999999999999996</v>
      </c>
      <c r="E125" s="4" t="s">
        <v>15</v>
      </c>
      <c r="F125" s="5">
        <v>12.7</v>
      </c>
      <c r="G125" s="4" t="s">
        <v>32</v>
      </c>
      <c r="H125" s="4"/>
      <c r="I125" s="5">
        <v>2</v>
      </c>
      <c r="J125" s="6">
        <v>3</v>
      </c>
      <c r="K125" s="4" t="s">
        <v>33</v>
      </c>
      <c r="L125" s="4" t="s">
        <v>30</v>
      </c>
      <c r="M125" s="4" t="s">
        <v>30</v>
      </c>
      <c r="N125" s="4" t="s">
        <v>21</v>
      </c>
    </row>
    <row r="126" spans="1:14" x14ac:dyDescent="0.3">
      <c r="A126" s="4">
        <v>125</v>
      </c>
      <c r="B126" s="4">
        <v>30</v>
      </c>
      <c r="C126" s="4" t="s">
        <v>22</v>
      </c>
      <c r="D126" s="5">
        <v>8.6999999999999993</v>
      </c>
      <c r="E126" s="4" t="s">
        <v>37</v>
      </c>
      <c r="F126" s="5">
        <v>10.3</v>
      </c>
      <c r="G126" s="4" t="s">
        <v>16</v>
      </c>
      <c r="H126" s="4" t="s">
        <v>50</v>
      </c>
      <c r="I126" s="5">
        <v>2.9</v>
      </c>
      <c r="J126" s="6">
        <v>9</v>
      </c>
      <c r="K126" s="4" t="s">
        <v>18</v>
      </c>
      <c r="L126" s="4" t="s">
        <v>19</v>
      </c>
      <c r="M126" s="4" t="s">
        <v>20</v>
      </c>
      <c r="N126" s="4" t="s">
        <v>21</v>
      </c>
    </row>
    <row r="127" spans="1:14" x14ac:dyDescent="0.3">
      <c r="A127" s="4">
        <v>126</v>
      </c>
      <c r="B127" s="4">
        <v>30</v>
      </c>
      <c r="C127" s="4" t="s">
        <v>22</v>
      </c>
      <c r="D127" s="5">
        <v>9.9</v>
      </c>
      <c r="E127" s="4" t="s">
        <v>44</v>
      </c>
      <c r="F127" s="5">
        <v>12</v>
      </c>
      <c r="G127" s="4" t="s">
        <v>35</v>
      </c>
      <c r="H127" s="4"/>
      <c r="I127" s="5">
        <v>2.1</v>
      </c>
      <c r="J127" s="6">
        <v>1</v>
      </c>
      <c r="K127" s="4" t="s">
        <v>39</v>
      </c>
      <c r="L127" s="4" t="s">
        <v>19</v>
      </c>
      <c r="M127" s="4" t="s">
        <v>20</v>
      </c>
      <c r="N127" s="4" t="s">
        <v>21</v>
      </c>
    </row>
    <row r="128" spans="1:14" x14ac:dyDescent="0.3">
      <c r="A128" s="4">
        <v>127</v>
      </c>
      <c r="B128" s="4">
        <v>34</v>
      </c>
      <c r="C128" s="4" t="s">
        <v>22</v>
      </c>
      <c r="D128" s="5">
        <v>3.7</v>
      </c>
      <c r="E128" s="4" t="s">
        <v>23</v>
      </c>
      <c r="F128" s="5">
        <v>4.9000000000000004</v>
      </c>
      <c r="G128" s="4" t="s">
        <v>38</v>
      </c>
      <c r="H128" s="4"/>
      <c r="I128" s="5">
        <v>6.6</v>
      </c>
      <c r="J128" s="6">
        <v>4</v>
      </c>
      <c r="K128" s="4" t="s">
        <v>18</v>
      </c>
      <c r="L128" s="4" t="s">
        <v>19</v>
      </c>
      <c r="M128" s="4" t="s">
        <v>20</v>
      </c>
      <c r="N128" s="4" t="s">
        <v>21</v>
      </c>
    </row>
    <row r="129" spans="1:14" x14ac:dyDescent="0.3">
      <c r="A129" s="4">
        <v>128</v>
      </c>
      <c r="B129" s="4">
        <v>23</v>
      </c>
      <c r="C129" s="4" t="s">
        <v>40</v>
      </c>
      <c r="D129" s="5">
        <v>5.9</v>
      </c>
      <c r="E129" s="4" t="s">
        <v>34</v>
      </c>
      <c r="F129" s="5">
        <v>9.1</v>
      </c>
      <c r="G129" s="4" t="s">
        <v>16</v>
      </c>
      <c r="H129" s="4" t="s">
        <v>51</v>
      </c>
      <c r="I129" s="5">
        <v>1.4</v>
      </c>
      <c r="J129" s="6">
        <v>3</v>
      </c>
      <c r="K129" s="4" t="s">
        <v>33</v>
      </c>
      <c r="L129" s="4" t="s">
        <v>30</v>
      </c>
      <c r="M129" s="4" t="s">
        <v>30</v>
      </c>
      <c r="N129" s="4" t="s">
        <v>21</v>
      </c>
    </row>
    <row r="130" spans="1:14" x14ac:dyDescent="0.3">
      <c r="A130" s="4">
        <v>129</v>
      </c>
      <c r="B130" s="4">
        <v>27</v>
      </c>
      <c r="C130" s="4" t="s">
        <v>40</v>
      </c>
      <c r="D130" s="5">
        <v>4.0999999999999996</v>
      </c>
      <c r="E130" s="4" t="s">
        <v>34</v>
      </c>
      <c r="F130" s="5">
        <v>6.4</v>
      </c>
      <c r="G130" s="4" t="s">
        <v>38</v>
      </c>
      <c r="H130" s="4"/>
      <c r="I130" s="5">
        <v>3.4</v>
      </c>
      <c r="J130" s="6">
        <v>4</v>
      </c>
      <c r="K130" s="4" t="s">
        <v>29</v>
      </c>
      <c r="L130" s="4" t="s">
        <v>19</v>
      </c>
      <c r="M130" s="4" t="s">
        <v>30</v>
      </c>
      <c r="N130" s="4" t="s">
        <v>21</v>
      </c>
    </row>
    <row r="131" spans="1:14" x14ac:dyDescent="0.3">
      <c r="A131" s="4">
        <v>130</v>
      </c>
      <c r="B131" s="4">
        <v>21</v>
      </c>
      <c r="C131" s="4" t="s">
        <v>40</v>
      </c>
      <c r="D131" s="5">
        <v>6.7</v>
      </c>
      <c r="E131" s="4" t="s">
        <v>34</v>
      </c>
      <c r="F131" s="5">
        <v>13.7</v>
      </c>
      <c r="G131" s="4" t="s">
        <v>28</v>
      </c>
      <c r="H131" s="4"/>
      <c r="I131" s="5">
        <v>3</v>
      </c>
      <c r="J131" s="6">
        <v>1</v>
      </c>
      <c r="K131" s="4" t="s">
        <v>39</v>
      </c>
      <c r="L131" s="4" t="s">
        <v>45</v>
      </c>
      <c r="M131" s="4" t="s">
        <v>30</v>
      </c>
      <c r="N131" s="4" t="s">
        <v>21</v>
      </c>
    </row>
    <row r="132" spans="1:14" x14ac:dyDescent="0.3">
      <c r="A132" s="4">
        <v>131</v>
      </c>
      <c r="B132" s="4">
        <v>17</v>
      </c>
      <c r="C132" s="4" t="s">
        <v>14</v>
      </c>
      <c r="D132" s="5">
        <v>2.6</v>
      </c>
      <c r="E132" s="4" t="s">
        <v>42</v>
      </c>
      <c r="F132" s="5">
        <v>12.2</v>
      </c>
      <c r="G132" s="4" t="s">
        <v>28</v>
      </c>
      <c r="H132" s="4"/>
      <c r="I132" s="5">
        <v>3.9</v>
      </c>
      <c r="J132" s="6">
        <v>1</v>
      </c>
      <c r="K132" s="4" t="s">
        <v>29</v>
      </c>
      <c r="L132" s="4" t="s">
        <v>45</v>
      </c>
      <c r="M132" s="4" t="s">
        <v>45</v>
      </c>
      <c r="N132" s="4" t="s">
        <v>21</v>
      </c>
    </row>
    <row r="133" spans="1:14" x14ac:dyDescent="0.3">
      <c r="A133" s="4">
        <v>132</v>
      </c>
      <c r="B133" s="4">
        <v>22</v>
      </c>
      <c r="C133" s="4" t="s">
        <v>22</v>
      </c>
      <c r="D133" s="5">
        <v>5.2</v>
      </c>
      <c r="E133" s="4" t="s">
        <v>15</v>
      </c>
      <c r="F133" s="5">
        <v>8.1999999999999993</v>
      </c>
      <c r="G133" s="4" t="s">
        <v>43</v>
      </c>
      <c r="H133" s="4"/>
      <c r="I133" s="5">
        <v>7.3</v>
      </c>
      <c r="J133" s="6">
        <v>4</v>
      </c>
      <c r="K133" s="4" t="s">
        <v>33</v>
      </c>
      <c r="L133" s="4" t="s">
        <v>30</v>
      </c>
      <c r="M133" s="4" t="s">
        <v>45</v>
      </c>
      <c r="N133" s="4" t="s">
        <v>21</v>
      </c>
    </row>
    <row r="134" spans="1:14" x14ac:dyDescent="0.3">
      <c r="A134" s="4">
        <v>133</v>
      </c>
      <c r="B134" s="4">
        <v>29</v>
      </c>
      <c r="C134" s="4" t="s">
        <v>40</v>
      </c>
      <c r="D134" s="5">
        <v>8.1</v>
      </c>
      <c r="E134" s="4" t="s">
        <v>23</v>
      </c>
      <c r="F134" s="5">
        <v>11.9</v>
      </c>
      <c r="G134" s="4" t="s">
        <v>38</v>
      </c>
      <c r="H134" s="4"/>
      <c r="I134" s="5">
        <v>1.8</v>
      </c>
      <c r="J134" s="6">
        <v>7</v>
      </c>
      <c r="K134" s="4" t="s">
        <v>39</v>
      </c>
      <c r="L134" s="4" t="s">
        <v>25</v>
      </c>
      <c r="M134" s="4" t="s">
        <v>20</v>
      </c>
      <c r="N134" s="4" t="s">
        <v>21</v>
      </c>
    </row>
    <row r="135" spans="1:14" x14ac:dyDescent="0.3">
      <c r="A135" s="4">
        <v>134</v>
      </c>
      <c r="B135" s="4">
        <v>19</v>
      </c>
      <c r="C135" s="4" t="s">
        <v>22</v>
      </c>
      <c r="D135" s="5">
        <v>5.4</v>
      </c>
      <c r="E135" s="4" t="s">
        <v>15</v>
      </c>
      <c r="F135" s="5">
        <v>11.8</v>
      </c>
      <c r="G135" s="4" t="s">
        <v>16</v>
      </c>
      <c r="H135" s="4" t="s">
        <v>50</v>
      </c>
      <c r="I135" s="5">
        <v>3.3</v>
      </c>
      <c r="J135" s="6">
        <v>1</v>
      </c>
      <c r="K135" s="4" t="s">
        <v>18</v>
      </c>
      <c r="L135" s="4" t="s">
        <v>19</v>
      </c>
      <c r="M135" s="4" t="s">
        <v>45</v>
      </c>
      <c r="N135" s="4" t="s">
        <v>21</v>
      </c>
    </row>
    <row r="136" spans="1:14" x14ac:dyDescent="0.3">
      <c r="A136" s="4">
        <v>135</v>
      </c>
      <c r="B136" s="4">
        <v>35</v>
      </c>
      <c r="C136" s="4" t="s">
        <v>22</v>
      </c>
      <c r="D136" s="5">
        <v>9.6</v>
      </c>
      <c r="E136" s="4" t="s">
        <v>37</v>
      </c>
      <c r="F136" s="5">
        <v>8.4</v>
      </c>
      <c r="G136" s="4" t="s">
        <v>47</v>
      </c>
      <c r="H136" s="4"/>
      <c r="I136" s="5">
        <v>5.8</v>
      </c>
      <c r="J136" s="6">
        <v>3</v>
      </c>
      <c r="K136" s="4" t="s">
        <v>29</v>
      </c>
      <c r="L136" s="4" t="s">
        <v>19</v>
      </c>
      <c r="M136" s="4" t="s">
        <v>30</v>
      </c>
      <c r="N136" s="4" t="s">
        <v>21</v>
      </c>
    </row>
    <row r="137" spans="1:14" x14ac:dyDescent="0.3">
      <c r="A137" s="4">
        <v>136</v>
      </c>
      <c r="B137" s="4">
        <v>35</v>
      </c>
      <c r="C137" s="4" t="s">
        <v>14</v>
      </c>
      <c r="D137" s="5">
        <v>9.6</v>
      </c>
      <c r="E137" s="4" t="s">
        <v>37</v>
      </c>
      <c r="F137" s="5">
        <v>5.0999999999999996</v>
      </c>
      <c r="G137" s="4" t="s">
        <v>35</v>
      </c>
      <c r="H137" s="4"/>
      <c r="I137" s="5">
        <v>7.9</v>
      </c>
      <c r="J137" s="6">
        <v>4</v>
      </c>
      <c r="K137" s="4" t="s">
        <v>18</v>
      </c>
      <c r="L137" s="4" t="s">
        <v>19</v>
      </c>
      <c r="M137" s="4" t="s">
        <v>36</v>
      </c>
      <c r="N137" s="4" t="s">
        <v>21</v>
      </c>
    </row>
    <row r="138" spans="1:14" x14ac:dyDescent="0.3">
      <c r="A138" s="4">
        <v>137</v>
      </c>
      <c r="B138" s="4">
        <v>28</v>
      </c>
      <c r="C138" s="4" t="s">
        <v>22</v>
      </c>
      <c r="D138" s="5">
        <v>6.4</v>
      </c>
      <c r="E138" s="4" t="s">
        <v>27</v>
      </c>
      <c r="F138" s="5">
        <v>11.8</v>
      </c>
      <c r="G138" s="4" t="s">
        <v>16</v>
      </c>
      <c r="H138" s="4" t="s">
        <v>51</v>
      </c>
      <c r="I138" s="5">
        <v>5.9</v>
      </c>
      <c r="J138" s="6">
        <v>8</v>
      </c>
      <c r="K138" s="4" t="s">
        <v>33</v>
      </c>
      <c r="L138" s="4" t="s">
        <v>25</v>
      </c>
      <c r="M138" s="4" t="s">
        <v>20</v>
      </c>
      <c r="N138" s="4" t="s">
        <v>21</v>
      </c>
    </row>
    <row r="139" spans="1:14" x14ac:dyDescent="0.3">
      <c r="A139" s="4">
        <v>138</v>
      </c>
      <c r="B139" s="4">
        <v>28</v>
      </c>
      <c r="C139" s="4" t="s">
        <v>14</v>
      </c>
      <c r="D139" s="5">
        <v>6.9</v>
      </c>
      <c r="E139" s="4" t="s">
        <v>44</v>
      </c>
      <c r="F139" s="5">
        <v>6.2</v>
      </c>
      <c r="G139" s="4" t="s">
        <v>28</v>
      </c>
      <c r="H139" s="4"/>
      <c r="I139" s="5">
        <v>4.3</v>
      </c>
      <c r="J139" s="6">
        <v>1</v>
      </c>
      <c r="K139" s="4" t="s">
        <v>18</v>
      </c>
      <c r="L139" s="4" t="s">
        <v>45</v>
      </c>
      <c r="M139" s="4" t="s">
        <v>20</v>
      </c>
      <c r="N139" s="4" t="s">
        <v>21</v>
      </c>
    </row>
    <row r="140" spans="1:14" x14ac:dyDescent="0.3">
      <c r="A140" s="4">
        <v>139</v>
      </c>
      <c r="B140" s="4">
        <v>21</v>
      </c>
      <c r="C140" s="4" t="s">
        <v>40</v>
      </c>
      <c r="D140" s="5">
        <v>3.4</v>
      </c>
      <c r="E140" s="4" t="s">
        <v>42</v>
      </c>
      <c r="F140" s="5">
        <v>13.9</v>
      </c>
      <c r="G140" s="4" t="s">
        <v>28</v>
      </c>
      <c r="H140" s="4"/>
      <c r="I140" s="5">
        <v>4.2</v>
      </c>
      <c r="J140" s="6">
        <v>9</v>
      </c>
      <c r="K140" s="4" t="s">
        <v>18</v>
      </c>
      <c r="L140" s="4" t="s">
        <v>19</v>
      </c>
      <c r="M140" s="4" t="s">
        <v>30</v>
      </c>
      <c r="N140" s="4" t="s">
        <v>21</v>
      </c>
    </row>
    <row r="141" spans="1:14" x14ac:dyDescent="0.3">
      <c r="A141" s="4">
        <v>140</v>
      </c>
      <c r="B141" s="4">
        <v>28</v>
      </c>
      <c r="C141" s="4" t="s">
        <v>40</v>
      </c>
      <c r="D141" s="5">
        <v>4.5</v>
      </c>
      <c r="E141" s="4" t="s">
        <v>34</v>
      </c>
      <c r="F141" s="5">
        <v>4.5</v>
      </c>
      <c r="G141" s="4" t="s">
        <v>32</v>
      </c>
      <c r="H141" s="4"/>
      <c r="I141" s="5">
        <v>3.4</v>
      </c>
      <c r="J141" s="6">
        <v>7</v>
      </c>
      <c r="K141" s="4" t="s">
        <v>29</v>
      </c>
      <c r="L141" s="4" t="s">
        <v>25</v>
      </c>
      <c r="M141" s="4" t="s">
        <v>45</v>
      </c>
      <c r="N141" s="4" t="s">
        <v>21</v>
      </c>
    </row>
    <row r="142" spans="1:14" x14ac:dyDescent="0.3">
      <c r="A142" s="4">
        <v>141</v>
      </c>
      <c r="B142" s="4">
        <v>17</v>
      </c>
      <c r="C142" s="4" t="s">
        <v>22</v>
      </c>
      <c r="D142" s="5">
        <v>6.9</v>
      </c>
      <c r="E142" s="4" t="s">
        <v>27</v>
      </c>
      <c r="F142" s="5">
        <v>7.1</v>
      </c>
      <c r="G142" s="4" t="s">
        <v>46</v>
      </c>
      <c r="H142" s="4"/>
      <c r="I142" s="5">
        <v>1.4</v>
      </c>
      <c r="J142" s="6">
        <v>7</v>
      </c>
      <c r="K142" s="4" t="s">
        <v>29</v>
      </c>
      <c r="L142" s="4" t="s">
        <v>25</v>
      </c>
      <c r="M142" s="4" t="s">
        <v>45</v>
      </c>
      <c r="N142" s="4" t="s">
        <v>21</v>
      </c>
    </row>
    <row r="143" spans="1:14" x14ac:dyDescent="0.3">
      <c r="A143" s="4">
        <v>142</v>
      </c>
      <c r="B143" s="4">
        <v>28</v>
      </c>
      <c r="C143" s="4" t="s">
        <v>22</v>
      </c>
      <c r="D143" s="5">
        <v>4</v>
      </c>
      <c r="E143" s="4" t="s">
        <v>15</v>
      </c>
      <c r="F143" s="5">
        <v>9.4</v>
      </c>
      <c r="G143" s="4" t="s">
        <v>46</v>
      </c>
      <c r="H143" s="4"/>
      <c r="I143" s="5">
        <v>4.7</v>
      </c>
      <c r="J143" s="6">
        <v>6</v>
      </c>
      <c r="K143" s="4" t="s">
        <v>39</v>
      </c>
      <c r="L143" s="4" t="s">
        <v>19</v>
      </c>
      <c r="M143" s="4" t="s">
        <v>30</v>
      </c>
      <c r="N143" s="4" t="s">
        <v>21</v>
      </c>
    </row>
    <row r="144" spans="1:14" x14ac:dyDescent="0.3">
      <c r="A144" s="4">
        <v>143</v>
      </c>
      <c r="B144" s="4">
        <v>29</v>
      </c>
      <c r="C144" s="4" t="s">
        <v>40</v>
      </c>
      <c r="D144" s="5">
        <v>7.3</v>
      </c>
      <c r="E144" s="4" t="s">
        <v>15</v>
      </c>
      <c r="F144" s="5">
        <v>6.6</v>
      </c>
      <c r="G144" s="4" t="s">
        <v>38</v>
      </c>
      <c r="H144" s="4"/>
      <c r="I144" s="5">
        <v>6.6</v>
      </c>
      <c r="J144" s="6">
        <v>1</v>
      </c>
      <c r="K144" s="4" t="s">
        <v>18</v>
      </c>
      <c r="L144" s="4" t="s">
        <v>30</v>
      </c>
      <c r="M144" s="4" t="s">
        <v>20</v>
      </c>
      <c r="N144" s="4" t="s">
        <v>21</v>
      </c>
    </row>
    <row r="145" spans="1:14" x14ac:dyDescent="0.3">
      <c r="A145" s="4">
        <v>144</v>
      </c>
      <c r="B145" s="4">
        <v>25</v>
      </c>
      <c r="C145" s="4" t="s">
        <v>14</v>
      </c>
      <c r="D145" s="5">
        <v>9.5</v>
      </c>
      <c r="E145" s="4" t="s">
        <v>23</v>
      </c>
      <c r="F145" s="5">
        <v>12.6</v>
      </c>
      <c r="G145" s="4" t="s">
        <v>41</v>
      </c>
      <c r="H145" s="4"/>
      <c r="I145" s="5">
        <v>6.5</v>
      </c>
      <c r="J145" s="6">
        <v>9</v>
      </c>
      <c r="K145" s="4" t="s">
        <v>29</v>
      </c>
      <c r="L145" s="4" t="s">
        <v>45</v>
      </c>
      <c r="M145" s="4" t="s">
        <v>36</v>
      </c>
      <c r="N145" s="4" t="s">
        <v>21</v>
      </c>
    </row>
    <row r="146" spans="1:14" x14ac:dyDescent="0.3">
      <c r="A146" s="4">
        <v>145</v>
      </c>
      <c r="B146" s="4">
        <v>35</v>
      </c>
      <c r="C146" s="4" t="s">
        <v>22</v>
      </c>
      <c r="D146" s="5">
        <v>5.9</v>
      </c>
      <c r="E146" s="4" t="s">
        <v>34</v>
      </c>
      <c r="F146" s="5">
        <v>9.3000000000000007</v>
      </c>
      <c r="G146" s="4" t="s">
        <v>28</v>
      </c>
      <c r="H146" s="4"/>
      <c r="I146" s="5">
        <v>8</v>
      </c>
      <c r="J146" s="6">
        <v>2</v>
      </c>
      <c r="K146" s="4" t="s">
        <v>29</v>
      </c>
      <c r="L146" s="4" t="s">
        <v>19</v>
      </c>
      <c r="M146" s="4" t="s">
        <v>30</v>
      </c>
      <c r="N146" s="4" t="s">
        <v>21</v>
      </c>
    </row>
    <row r="147" spans="1:14" x14ac:dyDescent="0.3">
      <c r="A147" s="4">
        <v>146</v>
      </c>
      <c r="B147" s="4">
        <v>20</v>
      </c>
      <c r="C147" s="4" t="s">
        <v>14</v>
      </c>
      <c r="D147" s="5">
        <v>2.4</v>
      </c>
      <c r="E147" s="4" t="s">
        <v>23</v>
      </c>
      <c r="F147" s="5">
        <v>7.7</v>
      </c>
      <c r="G147" s="4" t="s">
        <v>28</v>
      </c>
      <c r="H147" s="4"/>
      <c r="I147" s="5">
        <v>6.6</v>
      </c>
      <c r="J147" s="6">
        <v>9</v>
      </c>
      <c r="K147" s="4" t="s">
        <v>29</v>
      </c>
      <c r="L147" s="4" t="s">
        <v>45</v>
      </c>
      <c r="M147" s="4" t="s">
        <v>20</v>
      </c>
      <c r="N147" s="4" t="s">
        <v>21</v>
      </c>
    </row>
    <row r="148" spans="1:14" x14ac:dyDescent="0.3">
      <c r="A148" s="4">
        <v>147</v>
      </c>
      <c r="B148" s="4">
        <v>29</v>
      </c>
      <c r="C148" s="4" t="s">
        <v>22</v>
      </c>
      <c r="D148" s="5">
        <v>7.1</v>
      </c>
      <c r="E148" s="4" t="s">
        <v>15</v>
      </c>
      <c r="F148" s="5">
        <v>6.8</v>
      </c>
      <c r="G148" s="4" t="s">
        <v>46</v>
      </c>
      <c r="H148" s="4"/>
      <c r="I148" s="5">
        <v>6.3</v>
      </c>
      <c r="J148" s="6">
        <v>1</v>
      </c>
      <c r="K148" s="4" t="s">
        <v>18</v>
      </c>
      <c r="L148" s="4" t="s">
        <v>30</v>
      </c>
      <c r="M148" s="4" t="s">
        <v>30</v>
      </c>
      <c r="N148" s="4" t="s">
        <v>21</v>
      </c>
    </row>
    <row r="149" spans="1:14" x14ac:dyDescent="0.3">
      <c r="A149" s="4">
        <v>148</v>
      </c>
      <c r="B149" s="4">
        <v>33</v>
      </c>
      <c r="C149" s="4" t="s">
        <v>22</v>
      </c>
      <c r="D149" s="5">
        <v>3.2</v>
      </c>
      <c r="E149" s="4" t="s">
        <v>27</v>
      </c>
      <c r="F149" s="5">
        <v>8.6</v>
      </c>
      <c r="G149" s="4" t="s">
        <v>47</v>
      </c>
      <c r="H149" s="4"/>
      <c r="I149" s="5">
        <v>2</v>
      </c>
      <c r="J149" s="6">
        <v>6</v>
      </c>
      <c r="K149" s="4" t="s">
        <v>33</v>
      </c>
      <c r="L149" s="4" t="s">
        <v>19</v>
      </c>
      <c r="M149" s="4" t="s">
        <v>36</v>
      </c>
      <c r="N149" s="4" t="s">
        <v>21</v>
      </c>
    </row>
    <row r="150" spans="1:14" x14ac:dyDescent="0.3">
      <c r="A150" s="4">
        <v>149</v>
      </c>
      <c r="B150" s="4">
        <v>27</v>
      </c>
      <c r="C150" s="4" t="s">
        <v>40</v>
      </c>
      <c r="D150" s="5">
        <v>2.2000000000000002</v>
      </c>
      <c r="E150" s="4" t="s">
        <v>27</v>
      </c>
      <c r="F150" s="5">
        <v>8.6</v>
      </c>
      <c r="G150" s="4" t="s">
        <v>32</v>
      </c>
      <c r="H150" s="4"/>
      <c r="I150" s="5">
        <v>4.8</v>
      </c>
      <c r="J150" s="6">
        <v>8</v>
      </c>
      <c r="K150" s="4" t="s">
        <v>18</v>
      </c>
      <c r="L150" s="4" t="s">
        <v>30</v>
      </c>
      <c r="M150" s="4" t="s">
        <v>36</v>
      </c>
      <c r="N150" s="4" t="s">
        <v>21</v>
      </c>
    </row>
    <row r="151" spans="1:14" x14ac:dyDescent="0.3">
      <c r="A151" s="4">
        <v>150</v>
      </c>
      <c r="B151" s="4">
        <v>35</v>
      </c>
      <c r="C151" s="4" t="s">
        <v>40</v>
      </c>
      <c r="D151" s="5">
        <v>4</v>
      </c>
      <c r="E151" s="4" t="s">
        <v>42</v>
      </c>
      <c r="F151" s="5">
        <v>4.9000000000000004</v>
      </c>
      <c r="G151" s="4" t="s">
        <v>41</v>
      </c>
      <c r="H151" s="4"/>
      <c r="I151" s="5">
        <v>5.5</v>
      </c>
      <c r="J151" s="6">
        <v>5</v>
      </c>
      <c r="K151" s="4" t="s">
        <v>33</v>
      </c>
      <c r="L151" s="4" t="s">
        <v>45</v>
      </c>
      <c r="M151" s="4" t="s">
        <v>30</v>
      </c>
      <c r="N151" s="4" t="s">
        <v>21</v>
      </c>
    </row>
    <row r="152" spans="1:14" x14ac:dyDescent="0.3">
      <c r="A152" s="4">
        <v>151</v>
      </c>
      <c r="B152" s="4">
        <v>24</v>
      </c>
      <c r="C152" s="4" t="s">
        <v>22</v>
      </c>
      <c r="D152" s="5">
        <v>7</v>
      </c>
      <c r="E152" s="4" t="s">
        <v>23</v>
      </c>
      <c r="F152" s="5">
        <v>12.1</v>
      </c>
      <c r="G152" s="4" t="s">
        <v>16</v>
      </c>
      <c r="H152" s="4" t="s">
        <v>48</v>
      </c>
      <c r="I152" s="5">
        <v>7</v>
      </c>
      <c r="J152" s="6">
        <v>6</v>
      </c>
      <c r="K152" s="4" t="s">
        <v>29</v>
      </c>
      <c r="L152" s="4" t="s">
        <v>45</v>
      </c>
      <c r="M152" s="4" t="s">
        <v>45</v>
      </c>
      <c r="N152" s="4" t="s">
        <v>21</v>
      </c>
    </row>
    <row r="153" spans="1:14" x14ac:dyDescent="0.3">
      <c r="A153" s="4">
        <v>152</v>
      </c>
      <c r="B153" s="4">
        <v>32</v>
      </c>
      <c r="C153" s="4" t="s">
        <v>40</v>
      </c>
      <c r="D153" s="5">
        <v>8.9</v>
      </c>
      <c r="E153" s="4" t="s">
        <v>37</v>
      </c>
      <c r="F153" s="5">
        <v>13</v>
      </c>
      <c r="G153" s="4" t="s">
        <v>41</v>
      </c>
      <c r="H153" s="4"/>
      <c r="I153" s="5">
        <v>6.2</v>
      </c>
      <c r="J153" s="6">
        <v>4</v>
      </c>
      <c r="K153" s="4" t="s">
        <v>29</v>
      </c>
      <c r="L153" s="4" t="s">
        <v>19</v>
      </c>
      <c r="M153" s="4" t="s">
        <v>36</v>
      </c>
      <c r="N153" s="4" t="s">
        <v>21</v>
      </c>
    </row>
    <row r="154" spans="1:14" x14ac:dyDescent="0.3">
      <c r="A154" s="4">
        <v>153</v>
      </c>
      <c r="B154" s="4">
        <v>16</v>
      </c>
      <c r="C154" s="4" t="s">
        <v>22</v>
      </c>
      <c r="D154" s="5">
        <v>9.1999999999999993</v>
      </c>
      <c r="E154" s="4" t="s">
        <v>44</v>
      </c>
      <c r="F154" s="5">
        <v>4.8</v>
      </c>
      <c r="G154" s="4" t="s">
        <v>41</v>
      </c>
      <c r="H154" s="4"/>
      <c r="I154" s="5">
        <v>4.9000000000000004</v>
      </c>
      <c r="J154" s="6">
        <v>6</v>
      </c>
      <c r="K154" s="4" t="s">
        <v>33</v>
      </c>
      <c r="L154" s="4" t="s">
        <v>25</v>
      </c>
      <c r="M154" s="4" t="s">
        <v>20</v>
      </c>
      <c r="N154" s="4" t="s">
        <v>21</v>
      </c>
    </row>
    <row r="155" spans="1:14" x14ac:dyDescent="0.3">
      <c r="A155" s="4">
        <v>154</v>
      </c>
      <c r="B155" s="4">
        <v>24</v>
      </c>
      <c r="C155" s="4" t="s">
        <v>40</v>
      </c>
      <c r="D155" s="5">
        <v>5</v>
      </c>
      <c r="E155" s="4" t="s">
        <v>44</v>
      </c>
      <c r="F155" s="5">
        <v>8.6</v>
      </c>
      <c r="G155" s="4" t="s">
        <v>47</v>
      </c>
      <c r="H155" s="4"/>
      <c r="I155" s="5">
        <v>3.1</v>
      </c>
      <c r="J155" s="6">
        <v>9</v>
      </c>
      <c r="K155" s="4" t="s">
        <v>39</v>
      </c>
      <c r="L155" s="4" t="s">
        <v>19</v>
      </c>
      <c r="M155" s="4" t="s">
        <v>30</v>
      </c>
      <c r="N155" s="4" t="s">
        <v>21</v>
      </c>
    </row>
    <row r="156" spans="1:14" x14ac:dyDescent="0.3">
      <c r="A156" s="4">
        <v>155</v>
      </c>
      <c r="B156" s="4">
        <v>30</v>
      </c>
      <c r="C156" s="4" t="s">
        <v>14</v>
      </c>
      <c r="D156" s="5">
        <v>8.1</v>
      </c>
      <c r="E156" s="4" t="s">
        <v>44</v>
      </c>
      <c r="F156" s="5">
        <v>7.3</v>
      </c>
      <c r="G156" s="4" t="s">
        <v>35</v>
      </c>
      <c r="H156" s="4"/>
      <c r="I156" s="5">
        <v>3.8</v>
      </c>
      <c r="J156" s="6">
        <v>7</v>
      </c>
      <c r="K156" s="4" t="s">
        <v>33</v>
      </c>
      <c r="L156" s="4" t="s">
        <v>45</v>
      </c>
      <c r="M156" s="4" t="s">
        <v>45</v>
      </c>
      <c r="N156" s="4" t="s">
        <v>21</v>
      </c>
    </row>
    <row r="157" spans="1:14" x14ac:dyDescent="0.3">
      <c r="A157" s="4">
        <v>156</v>
      </c>
      <c r="B157" s="4">
        <v>25</v>
      </c>
      <c r="C157" s="4" t="s">
        <v>14</v>
      </c>
      <c r="D157" s="5">
        <v>5.6</v>
      </c>
      <c r="E157" s="4" t="s">
        <v>34</v>
      </c>
      <c r="F157" s="5">
        <v>4.4000000000000004</v>
      </c>
      <c r="G157" s="4" t="s">
        <v>38</v>
      </c>
      <c r="H157" s="4"/>
      <c r="I157" s="5">
        <v>4.8</v>
      </c>
      <c r="J157" s="6">
        <v>5</v>
      </c>
      <c r="K157" s="4" t="s">
        <v>33</v>
      </c>
      <c r="L157" s="4" t="s">
        <v>19</v>
      </c>
      <c r="M157" s="4" t="s">
        <v>36</v>
      </c>
      <c r="N157" s="4" t="s">
        <v>21</v>
      </c>
    </row>
    <row r="158" spans="1:14" x14ac:dyDescent="0.3">
      <c r="A158" s="4">
        <v>157</v>
      </c>
      <c r="B158" s="4">
        <v>30</v>
      </c>
      <c r="C158" s="4" t="s">
        <v>22</v>
      </c>
      <c r="D158" s="5">
        <v>7.6</v>
      </c>
      <c r="E158" s="4" t="s">
        <v>42</v>
      </c>
      <c r="F158" s="5">
        <v>11.5</v>
      </c>
      <c r="G158" s="4" t="s">
        <v>41</v>
      </c>
      <c r="H158" s="4"/>
      <c r="I158" s="5">
        <v>5.6</v>
      </c>
      <c r="J158" s="6">
        <v>9</v>
      </c>
      <c r="K158" s="4" t="s">
        <v>33</v>
      </c>
      <c r="L158" s="4" t="s">
        <v>30</v>
      </c>
      <c r="M158" s="4" t="s">
        <v>20</v>
      </c>
      <c r="N158" s="4" t="s">
        <v>21</v>
      </c>
    </row>
    <row r="159" spans="1:14" x14ac:dyDescent="0.3">
      <c r="A159" s="4">
        <v>158</v>
      </c>
      <c r="B159" s="4">
        <v>33</v>
      </c>
      <c r="C159" s="4" t="s">
        <v>14</v>
      </c>
      <c r="D159" s="5">
        <v>8.8000000000000007</v>
      </c>
      <c r="E159" s="4" t="s">
        <v>37</v>
      </c>
      <c r="F159" s="5">
        <v>8.1</v>
      </c>
      <c r="G159" s="4" t="s">
        <v>46</v>
      </c>
      <c r="H159" s="4"/>
      <c r="I159" s="5">
        <v>3</v>
      </c>
      <c r="J159" s="6">
        <v>1</v>
      </c>
      <c r="K159" s="4" t="s">
        <v>39</v>
      </c>
      <c r="L159" s="4" t="s">
        <v>25</v>
      </c>
      <c r="M159" s="4" t="s">
        <v>36</v>
      </c>
      <c r="N159" s="4" t="s">
        <v>21</v>
      </c>
    </row>
    <row r="160" spans="1:14" ht="28.8" x14ac:dyDescent="0.3">
      <c r="A160" s="4">
        <v>159</v>
      </c>
      <c r="B160" s="4">
        <v>17</v>
      </c>
      <c r="C160" s="4" t="s">
        <v>14</v>
      </c>
      <c r="D160" s="5">
        <v>3</v>
      </c>
      <c r="E160" s="4" t="s">
        <v>42</v>
      </c>
      <c r="F160" s="5">
        <v>7.6</v>
      </c>
      <c r="G160" s="4" t="s">
        <v>24</v>
      </c>
      <c r="H160" s="4"/>
      <c r="I160" s="5">
        <v>5.4</v>
      </c>
      <c r="J160" s="6">
        <v>9</v>
      </c>
      <c r="K160" s="4" t="s">
        <v>29</v>
      </c>
      <c r="L160" s="4" t="s">
        <v>25</v>
      </c>
      <c r="M160" s="4" t="s">
        <v>36</v>
      </c>
      <c r="N160" s="4" t="s">
        <v>21</v>
      </c>
    </row>
    <row r="161" spans="1:14" x14ac:dyDescent="0.3">
      <c r="A161" s="4">
        <v>160</v>
      </c>
      <c r="B161" s="4">
        <v>33</v>
      </c>
      <c r="C161" s="4" t="s">
        <v>14</v>
      </c>
      <c r="D161" s="5">
        <v>5.6</v>
      </c>
      <c r="E161" s="4" t="s">
        <v>37</v>
      </c>
      <c r="F161" s="5">
        <v>11</v>
      </c>
      <c r="G161" s="4" t="s">
        <v>16</v>
      </c>
      <c r="H161" s="4" t="s">
        <v>52</v>
      </c>
      <c r="I161" s="5">
        <v>5</v>
      </c>
      <c r="J161" s="6">
        <v>6</v>
      </c>
      <c r="K161" s="4" t="s">
        <v>39</v>
      </c>
      <c r="L161" s="4" t="s">
        <v>19</v>
      </c>
      <c r="M161" s="4" t="s">
        <v>36</v>
      </c>
      <c r="N161" s="4" t="s">
        <v>21</v>
      </c>
    </row>
    <row r="162" spans="1:14" x14ac:dyDescent="0.3">
      <c r="A162" s="4">
        <v>161</v>
      </c>
      <c r="B162" s="4">
        <v>17</v>
      </c>
      <c r="C162" s="4" t="s">
        <v>40</v>
      </c>
      <c r="D162" s="5">
        <v>2.2000000000000002</v>
      </c>
      <c r="E162" s="4" t="s">
        <v>42</v>
      </c>
      <c r="F162" s="5">
        <v>12.5</v>
      </c>
      <c r="G162" s="4" t="s">
        <v>38</v>
      </c>
      <c r="H162" s="4"/>
      <c r="I162" s="5">
        <v>5.9</v>
      </c>
      <c r="J162" s="6">
        <v>3</v>
      </c>
      <c r="K162" s="4" t="s">
        <v>39</v>
      </c>
      <c r="L162" s="4" t="s">
        <v>19</v>
      </c>
      <c r="M162" s="4" t="s">
        <v>36</v>
      </c>
      <c r="N162" s="4" t="s">
        <v>21</v>
      </c>
    </row>
    <row r="163" spans="1:14" x14ac:dyDescent="0.3">
      <c r="A163" s="4">
        <v>162</v>
      </c>
      <c r="B163" s="4">
        <v>32</v>
      </c>
      <c r="C163" s="4" t="s">
        <v>40</v>
      </c>
      <c r="D163" s="5">
        <v>3.9</v>
      </c>
      <c r="E163" s="4" t="s">
        <v>34</v>
      </c>
      <c r="F163" s="5">
        <v>4.7</v>
      </c>
      <c r="G163" s="4" t="s">
        <v>32</v>
      </c>
      <c r="H163" s="4"/>
      <c r="I163" s="5">
        <v>1.6</v>
      </c>
      <c r="J163" s="6">
        <v>2</v>
      </c>
      <c r="K163" s="4" t="s">
        <v>33</v>
      </c>
      <c r="L163" s="4" t="s">
        <v>45</v>
      </c>
      <c r="M163" s="4" t="s">
        <v>45</v>
      </c>
      <c r="N163" s="4" t="s">
        <v>21</v>
      </c>
    </row>
    <row r="164" spans="1:14" x14ac:dyDescent="0.3">
      <c r="A164" s="4">
        <v>163</v>
      </c>
      <c r="B164" s="4">
        <v>26</v>
      </c>
      <c r="C164" s="4" t="s">
        <v>40</v>
      </c>
      <c r="D164" s="5">
        <v>6.4</v>
      </c>
      <c r="E164" s="4" t="s">
        <v>23</v>
      </c>
      <c r="F164" s="5">
        <v>12.3</v>
      </c>
      <c r="G164" s="4" t="s">
        <v>38</v>
      </c>
      <c r="H164" s="4"/>
      <c r="I164" s="5">
        <v>4.9000000000000004</v>
      </c>
      <c r="J164" s="6">
        <v>7</v>
      </c>
      <c r="K164" s="4" t="s">
        <v>29</v>
      </c>
      <c r="L164" s="4" t="s">
        <v>19</v>
      </c>
      <c r="M164" s="4" t="s">
        <v>30</v>
      </c>
      <c r="N164" s="4" t="s">
        <v>21</v>
      </c>
    </row>
    <row r="165" spans="1:14" x14ac:dyDescent="0.3">
      <c r="A165" s="4">
        <v>164</v>
      </c>
      <c r="B165" s="4">
        <v>28</v>
      </c>
      <c r="C165" s="4" t="s">
        <v>22</v>
      </c>
      <c r="D165" s="5">
        <v>10</v>
      </c>
      <c r="E165" s="4" t="s">
        <v>42</v>
      </c>
      <c r="F165" s="5">
        <v>10.199999999999999</v>
      </c>
      <c r="G165" s="4" t="s">
        <v>47</v>
      </c>
      <c r="H165" s="4"/>
      <c r="I165" s="5">
        <v>4.4000000000000004</v>
      </c>
      <c r="J165" s="6">
        <v>8</v>
      </c>
      <c r="K165" s="4" t="s">
        <v>33</v>
      </c>
      <c r="L165" s="4" t="s">
        <v>45</v>
      </c>
      <c r="M165" s="4" t="s">
        <v>20</v>
      </c>
      <c r="N165" s="4" t="s">
        <v>21</v>
      </c>
    </row>
    <row r="166" spans="1:14" x14ac:dyDescent="0.3">
      <c r="A166" s="4">
        <v>165</v>
      </c>
      <c r="B166" s="4">
        <v>30</v>
      </c>
      <c r="C166" s="4" t="s">
        <v>40</v>
      </c>
      <c r="D166" s="5">
        <v>4</v>
      </c>
      <c r="E166" s="4" t="s">
        <v>15</v>
      </c>
      <c r="F166" s="5">
        <v>10.8</v>
      </c>
      <c r="G166" s="4" t="s">
        <v>38</v>
      </c>
      <c r="H166" s="4"/>
      <c r="I166" s="5">
        <v>1.7</v>
      </c>
      <c r="J166" s="6">
        <v>4</v>
      </c>
      <c r="K166" s="4" t="s">
        <v>39</v>
      </c>
      <c r="L166" s="4" t="s">
        <v>30</v>
      </c>
      <c r="M166" s="4" t="s">
        <v>30</v>
      </c>
      <c r="N166" s="4" t="s">
        <v>21</v>
      </c>
    </row>
    <row r="167" spans="1:14" x14ac:dyDescent="0.3">
      <c r="A167" s="4">
        <v>166</v>
      </c>
      <c r="B167" s="4">
        <v>31</v>
      </c>
      <c r="C167" s="4" t="s">
        <v>22</v>
      </c>
      <c r="D167" s="5">
        <v>6.7</v>
      </c>
      <c r="E167" s="4" t="s">
        <v>15</v>
      </c>
      <c r="F167" s="5">
        <v>13.3</v>
      </c>
      <c r="G167" s="4" t="s">
        <v>47</v>
      </c>
      <c r="H167" s="4"/>
      <c r="I167" s="5">
        <v>5.0999999999999996</v>
      </c>
      <c r="J167" s="6">
        <v>9</v>
      </c>
      <c r="K167" s="4" t="s">
        <v>18</v>
      </c>
      <c r="L167" s="4" t="s">
        <v>25</v>
      </c>
      <c r="M167" s="4" t="s">
        <v>30</v>
      </c>
      <c r="N167" s="4" t="s">
        <v>21</v>
      </c>
    </row>
    <row r="168" spans="1:14" ht="28.8" x14ac:dyDescent="0.3">
      <c r="A168" s="4">
        <v>167</v>
      </c>
      <c r="B168" s="4">
        <v>17</v>
      </c>
      <c r="C168" s="4" t="s">
        <v>22</v>
      </c>
      <c r="D168" s="5">
        <v>4.0999999999999996</v>
      </c>
      <c r="E168" s="4" t="s">
        <v>27</v>
      </c>
      <c r="F168" s="5">
        <v>10.4</v>
      </c>
      <c r="G168" s="4" t="s">
        <v>24</v>
      </c>
      <c r="H168" s="4"/>
      <c r="I168" s="5">
        <v>3.3</v>
      </c>
      <c r="J168" s="6">
        <v>4</v>
      </c>
      <c r="K168" s="4" t="s">
        <v>29</v>
      </c>
      <c r="L168" s="4" t="s">
        <v>30</v>
      </c>
      <c r="M168" s="4" t="s">
        <v>30</v>
      </c>
      <c r="N168" s="4" t="s">
        <v>21</v>
      </c>
    </row>
    <row r="169" spans="1:14" x14ac:dyDescent="0.3">
      <c r="A169" s="4">
        <v>168</v>
      </c>
      <c r="B169" s="4">
        <v>25</v>
      </c>
      <c r="C169" s="4" t="s">
        <v>22</v>
      </c>
      <c r="D169" s="5">
        <v>8.6999999999999993</v>
      </c>
      <c r="E169" s="4" t="s">
        <v>34</v>
      </c>
      <c r="F169" s="5">
        <v>12.3</v>
      </c>
      <c r="G169" s="4" t="s">
        <v>41</v>
      </c>
      <c r="H169" s="4"/>
      <c r="I169" s="5">
        <v>4.3</v>
      </c>
      <c r="J169" s="6">
        <v>5</v>
      </c>
      <c r="K169" s="4" t="s">
        <v>33</v>
      </c>
      <c r="L169" s="4" t="s">
        <v>30</v>
      </c>
      <c r="M169" s="4" t="s">
        <v>36</v>
      </c>
      <c r="N169" s="4" t="s">
        <v>21</v>
      </c>
    </row>
    <row r="170" spans="1:14" x14ac:dyDescent="0.3">
      <c r="A170" s="4">
        <v>169</v>
      </c>
      <c r="B170" s="4">
        <v>29</v>
      </c>
      <c r="C170" s="4" t="s">
        <v>22</v>
      </c>
      <c r="D170" s="5">
        <v>6</v>
      </c>
      <c r="E170" s="4" t="s">
        <v>44</v>
      </c>
      <c r="F170" s="5">
        <v>11.6</v>
      </c>
      <c r="G170" s="4" t="s">
        <v>46</v>
      </c>
      <c r="H170" s="4"/>
      <c r="I170" s="5">
        <v>1.9</v>
      </c>
      <c r="J170" s="6">
        <v>2</v>
      </c>
      <c r="K170" s="4" t="s">
        <v>33</v>
      </c>
      <c r="L170" s="4" t="s">
        <v>30</v>
      </c>
      <c r="M170" s="4" t="s">
        <v>45</v>
      </c>
      <c r="N170" s="4" t="s">
        <v>21</v>
      </c>
    </row>
    <row r="171" spans="1:14" x14ac:dyDescent="0.3">
      <c r="A171" s="4">
        <v>170</v>
      </c>
      <c r="B171" s="4">
        <v>29</v>
      </c>
      <c r="C171" s="4" t="s">
        <v>22</v>
      </c>
      <c r="D171" s="5">
        <v>9.4</v>
      </c>
      <c r="E171" s="4" t="s">
        <v>23</v>
      </c>
      <c r="F171" s="5">
        <v>8</v>
      </c>
      <c r="G171" s="4" t="s">
        <v>28</v>
      </c>
      <c r="H171" s="4"/>
      <c r="I171" s="5">
        <v>6.9</v>
      </c>
      <c r="J171" s="6">
        <v>1</v>
      </c>
      <c r="K171" s="4" t="s">
        <v>33</v>
      </c>
      <c r="L171" s="4" t="s">
        <v>25</v>
      </c>
      <c r="M171" s="4" t="s">
        <v>20</v>
      </c>
      <c r="N171" s="4" t="s">
        <v>21</v>
      </c>
    </row>
    <row r="172" spans="1:14" x14ac:dyDescent="0.3">
      <c r="A172" s="4">
        <v>171</v>
      </c>
      <c r="B172" s="4">
        <v>30</v>
      </c>
      <c r="C172" s="4" t="s">
        <v>40</v>
      </c>
      <c r="D172" s="5">
        <v>3.4</v>
      </c>
      <c r="E172" s="4" t="s">
        <v>37</v>
      </c>
      <c r="F172" s="5">
        <v>11.9</v>
      </c>
      <c r="G172" s="4" t="s">
        <v>16</v>
      </c>
      <c r="H172" s="4" t="s">
        <v>51</v>
      </c>
      <c r="I172" s="5">
        <v>2.8</v>
      </c>
      <c r="J172" s="6">
        <v>7</v>
      </c>
      <c r="K172" s="4" t="s">
        <v>39</v>
      </c>
      <c r="L172" s="4" t="s">
        <v>30</v>
      </c>
      <c r="M172" s="4" t="s">
        <v>36</v>
      </c>
      <c r="N172" s="4" t="s">
        <v>21</v>
      </c>
    </row>
    <row r="173" spans="1:14" x14ac:dyDescent="0.3">
      <c r="A173" s="4">
        <v>172</v>
      </c>
      <c r="B173" s="4">
        <v>19</v>
      </c>
      <c r="C173" s="4" t="s">
        <v>22</v>
      </c>
      <c r="D173" s="5">
        <v>9</v>
      </c>
      <c r="E173" s="4" t="s">
        <v>42</v>
      </c>
      <c r="F173" s="5">
        <v>9.1999999999999993</v>
      </c>
      <c r="G173" s="4" t="s">
        <v>47</v>
      </c>
      <c r="H173" s="4"/>
      <c r="I173" s="5">
        <v>7.9</v>
      </c>
      <c r="J173" s="6">
        <v>3</v>
      </c>
      <c r="K173" s="4" t="s">
        <v>33</v>
      </c>
      <c r="L173" s="4" t="s">
        <v>45</v>
      </c>
      <c r="M173" s="4" t="s">
        <v>36</v>
      </c>
      <c r="N173" s="4" t="s">
        <v>21</v>
      </c>
    </row>
    <row r="174" spans="1:14" x14ac:dyDescent="0.3">
      <c r="A174" s="4">
        <v>173</v>
      </c>
      <c r="B174" s="4">
        <v>32</v>
      </c>
      <c r="C174" s="4" t="s">
        <v>14</v>
      </c>
      <c r="D174" s="5">
        <v>3.4</v>
      </c>
      <c r="E174" s="4" t="s">
        <v>27</v>
      </c>
      <c r="F174" s="5">
        <v>13.6</v>
      </c>
      <c r="G174" s="4" t="s">
        <v>41</v>
      </c>
      <c r="H174" s="4"/>
      <c r="I174" s="5">
        <v>4.2</v>
      </c>
      <c r="J174" s="6">
        <v>9</v>
      </c>
      <c r="K174" s="4" t="s">
        <v>39</v>
      </c>
      <c r="L174" s="4" t="s">
        <v>19</v>
      </c>
      <c r="M174" s="4" t="s">
        <v>30</v>
      </c>
      <c r="N174" s="4" t="s">
        <v>21</v>
      </c>
    </row>
    <row r="175" spans="1:14" x14ac:dyDescent="0.3">
      <c r="A175" s="4">
        <v>174</v>
      </c>
      <c r="B175" s="4">
        <v>31</v>
      </c>
      <c r="C175" s="4" t="s">
        <v>40</v>
      </c>
      <c r="D175" s="5">
        <v>4.5999999999999996</v>
      </c>
      <c r="E175" s="4" t="s">
        <v>23</v>
      </c>
      <c r="F175" s="5">
        <v>11.9</v>
      </c>
      <c r="G175" s="4" t="s">
        <v>35</v>
      </c>
      <c r="H175" s="4"/>
      <c r="I175" s="5">
        <v>3.5</v>
      </c>
      <c r="J175" s="6">
        <v>2</v>
      </c>
      <c r="K175" s="4" t="s">
        <v>39</v>
      </c>
      <c r="L175" s="4" t="s">
        <v>45</v>
      </c>
      <c r="M175" s="4" t="s">
        <v>30</v>
      </c>
      <c r="N175" s="4" t="s">
        <v>21</v>
      </c>
    </row>
    <row r="176" spans="1:14" x14ac:dyDescent="0.3">
      <c r="A176" s="4">
        <v>175</v>
      </c>
      <c r="B176" s="4">
        <v>16</v>
      </c>
      <c r="C176" s="4" t="s">
        <v>22</v>
      </c>
      <c r="D176" s="5">
        <v>2.2000000000000002</v>
      </c>
      <c r="E176" s="4" t="s">
        <v>34</v>
      </c>
      <c r="F176" s="5">
        <v>13.5</v>
      </c>
      <c r="G176" s="4" t="s">
        <v>47</v>
      </c>
      <c r="H176" s="4"/>
      <c r="I176" s="5">
        <v>2.1</v>
      </c>
      <c r="J176" s="6">
        <v>1</v>
      </c>
      <c r="K176" s="4" t="s">
        <v>29</v>
      </c>
      <c r="L176" s="4" t="s">
        <v>45</v>
      </c>
      <c r="M176" s="4" t="s">
        <v>36</v>
      </c>
      <c r="N176" s="4" t="s">
        <v>21</v>
      </c>
    </row>
    <row r="177" spans="1:14" x14ac:dyDescent="0.3">
      <c r="A177" s="4">
        <v>176</v>
      </c>
      <c r="B177" s="4">
        <v>20</v>
      </c>
      <c r="C177" s="4" t="s">
        <v>14</v>
      </c>
      <c r="D177" s="5">
        <v>4.3</v>
      </c>
      <c r="E177" s="4" t="s">
        <v>23</v>
      </c>
      <c r="F177" s="5">
        <v>11.1</v>
      </c>
      <c r="G177" s="4" t="s">
        <v>38</v>
      </c>
      <c r="H177" s="4"/>
      <c r="I177" s="5">
        <v>4.8</v>
      </c>
      <c r="J177" s="6">
        <v>2</v>
      </c>
      <c r="K177" s="4" t="s">
        <v>29</v>
      </c>
      <c r="L177" s="4" t="s">
        <v>25</v>
      </c>
      <c r="M177" s="4" t="s">
        <v>20</v>
      </c>
      <c r="N177" s="4" t="s">
        <v>21</v>
      </c>
    </row>
    <row r="178" spans="1:14" x14ac:dyDescent="0.3">
      <c r="A178" s="4">
        <v>177</v>
      </c>
      <c r="B178" s="4">
        <v>31</v>
      </c>
      <c r="C178" s="4" t="s">
        <v>22</v>
      </c>
      <c r="D178" s="5">
        <v>3.5</v>
      </c>
      <c r="E178" s="4" t="s">
        <v>42</v>
      </c>
      <c r="F178" s="5">
        <v>7.6</v>
      </c>
      <c r="G178" s="4" t="s">
        <v>28</v>
      </c>
      <c r="H178" s="4"/>
      <c r="I178" s="5">
        <v>5.5</v>
      </c>
      <c r="J178" s="6">
        <v>9</v>
      </c>
      <c r="K178" s="4" t="s">
        <v>18</v>
      </c>
      <c r="L178" s="4" t="s">
        <v>25</v>
      </c>
      <c r="M178" s="4" t="s">
        <v>20</v>
      </c>
      <c r="N178" s="4" t="s">
        <v>21</v>
      </c>
    </row>
    <row r="179" spans="1:14" x14ac:dyDescent="0.3">
      <c r="A179" s="4">
        <v>178</v>
      </c>
      <c r="B179" s="4">
        <v>28</v>
      </c>
      <c r="C179" s="4" t="s">
        <v>40</v>
      </c>
      <c r="D179" s="5">
        <v>6.7</v>
      </c>
      <c r="E179" s="4" t="s">
        <v>27</v>
      </c>
      <c r="F179" s="5">
        <v>9</v>
      </c>
      <c r="G179" s="4" t="s">
        <v>46</v>
      </c>
      <c r="H179" s="4"/>
      <c r="I179" s="5">
        <v>1.7</v>
      </c>
      <c r="J179" s="6">
        <v>5</v>
      </c>
      <c r="K179" s="4" t="s">
        <v>33</v>
      </c>
      <c r="L179" s="4" t="s">
        <v>45</v>
      </c>
      <c r="M179" s="4" t="s">
        <v>30</v>
      </c>
      <c r="N179" s="4" t="s">
        <v>21</v>
      </c>
    </row>
    <row r="180" spans="1:14" x14ac:dyDescent="0.3">
      <c r="A180" s="4">
        <v>179</v>
      </c>
      <c r="B180" s="4">
        <v>21</v>
      </c>
      <c r="C180" s="4" t="s">
        <v>14</v>
      </c>
      <c r="D180" s="5">
        <v>3.6</v>
      </c>
      <c r="E180" s="4" t="s">
        <v>27</v>
      </c>
      <c r="F180" s="5">
        <v>9</v>
      </c>
      <c r="G180" s="4" t="s">
        <v>47</v>
      </c>
      <c r="H180" s="4"/>
      <c r="I180" s="5">
        <v>4.7</v>
      </c>
      <c r="J180" s="6">
        <v>2</v>
      </c>
      <c r="K180" s="4" t="s">
        <v>39</v>
      </c>
      <c r="L180" s="4" t="s">
        <v>19</v>
      </c>
      <c r="M180" s="4" t="s">
        <v>20</v>
      </c>
      <c r="N180" s="4" t="s">
        <v>21</v>
      </c>
    </row>
    <row r="181" spans="1:14" x14ac:dyDescent="0.3">
      <c r="A181" s="4">
        <v>180</v>
      </c>
      <c r="B181" s="4">
        <v>34</v>
      </c>
      <c r="C181" s="4" t="s">
        <v>22</v>
      </c>
      <c r="D181" s="5">
        <v>6.2</v>
      </c>
      <c r="E181" s="4" t="s">
        <v>15</v>
      </c>
      <c r="F181" s="5">
        <v>12.8</v>
      </c>
      <c r="G181" s="4" t="s">
        <v>28</v>
      </c>
      <c r="H181" s="4"/>
      <c r="I181" s="5">
        <v>6.6</v>
      </c>
      <c r="J181" s="6">
        <v>9</v>
      </c>
      <c r="K181" s="4" t="s">
        <v>18</v>
      </c>
      <c r="L181" s="4" t="s">
        <v>45</v>
      </c>
      <c r="M181" s="4" t="s">
        <v>45</v>
      </c>
      <c r="N181" s="4" t="s">
        <v>21</v>
      </c>
    </row>
    <row r="182" spans="1:14" x14ac:dyDescent="0.3">
      <c r="A182" s="4">
        <v>181</v>
      </c>
      <c r="B182" s="4">
        <v>32</v>
      </c>
      <c r="C182" s="4" t="s">
        <v>14</v>
      </c>
      <c r="D182" s="5">
        <v>5.7</v>
      </c>
      <c r="E182" s="4" t="s">
        <v>15</v>
      </c>
      <c r="F182" s="5">
        <v>10.4</v>
      </c>
      <c r="G182" s="4" t="s">
        <v>46</v>
      </c>
      <c r="H182" s="4"/>
      <c r="I182" s="5">
        <v>5</v>
      </c>
      <c r="J182" s="6">
        <v>6</v>
      </c>
      <c r="K182" s="4" t="s">
        <v>33</v>
      </c>
      <c r="L182" s="4" t="s">
        <v>30</v>
      </c>
      <c r="M182" s="4" t="s">
        <v>30</v>
      </c>
      <c r="N182" s="4" t="s">
        <v>21</v>
      </c>
    </row>
    <row r="183" spans="1:14" x14ac:dyDescent="0.3">
      <c r="A183" s="4">
        <v>182</v>
      </c>
      <c r="B183" s="4">
        <v>19</v>
      </c>
      <c r="C183" s="4" t="s">
        <v>40</v>
      </c>
      <c r="D183" s="5">
        <v>9.5</v>
      </c>
      <c r="E183" s="4" t="s">
        <v>15</v>
      </c>
      <c r="F183" s="5">
        <v>11.4</v>
      </c>
      <c r="G183" s="4" t="s">
        <v>43</v>
      </c>
      <c r="H183" s="4"/>
      <c r="I183" s="5">
        <v>5.8</v>
      </c>
      <c r="J183" s="6">
        <v>8</v>
      </c>
      <c r="K183" s="4" t="s">
        <v>18</v>
      </c>
      <c r="L183" s="4" t="s">
        <v>19</v>
      </c>
      <c r="M183" s="4" t="s">
        <v>20</v>
      </c>
      <c r="N183" s="4" t="s">
        <v>21</v>
      </c>
    </row>
    <row r="184" spans="1:14" x14ac:dyDescent="0.3">
      <c r="A184" s="4">
        <v>183</v>
      </c>
      <c r="B184" s="4">
        <v>24</v>
      </c>
      <c r="C184" s="4" t="s">
        <v>14</v>
      </c>
      <c r="D184" s="5">
        <v>6.2</v>
      </c>
      <c r="E184" s="4" t="s">
        <v>37</v>
      </c>
      <c r="F184" s="5">
        <v>13.7</v>
      </c>
      <c r="G184" s="4" t="s">
        <v>43</v>
      </c>
      <c r="H184" s="4"/>
      <c r="I184" s="5">
        <v>4.8</v>
      </c>
      <c r="J184" s="6">
        <v>6</v>
      </c>
      <c r="K184" s="4" t="s">
        <v>39</v>
      </c>
      <c r="L184" s="4" t="s">
        <v>19</v>
      </c>
      <c r="M184" s="4" t="s">
        <v>30</v>
      </c>
      <c r="N184" s="4" t="s">
        <v>21</v>
      </c>
    </row>
    <row r="185" spans="1:14" x14ac:dyDescent="0.3">
      <c r="A185" s="4">
        <v>184</v>
      </c>
      <c r="B185" s="4">
        <v>26</v>
      </c>
      <c r="C185" s="4" t="s">
        <v>14</v>
      </c>
      <c r="D185" s="5">
        <v>2.6</v>
      </c>
      <c r="E185" s="4" t="s">
        <v>44</v>
      </c>
      <c r="F185" s="5">
        <v>11.9</v>
      </c>
      <c r="G185" s="4" t="s">
        <v>16</v>
      </c>
      <c r="H185" s="4" t="s">
        <v>51</v>
      </c>
      <c r="I185" s="5">
        <v>4.4000000000000004</v>
      </c>
      <c r="J185" s="6">
        <v>9</v>
      </c>
      <c r="K185" s="4" t="s">
        <v>39</v>
      </c>
      <c r="L185" s="4" t="s">
        <v>19</v>
      </c>
      <c r="M185" s="4" t="s">
        <v>45</v>
      </c>
      <c r="N185" s="4" t="s">
        <v>21</v>
      </c>
    </row>
    <row r="186" spans="1:14" x14ac:dyDescent="0.3">
      <c r="A186" s="4">
        <v>185</v>
      </c>
      <c r="B186" s="4">
        <v>18</v>
      </c>
      <c r="C186" s="4" t="s">
        <v>14</v>
      </c>
      <c r="D186" s="5">
        <v>6.5</v>
      </c>
      <c r="E186" s="4" t="s">
        <v>37</v>
      </c>
      <c r="F186" s="5">
        <v>5.9</v>
      </c>
      <c r="G186" s="4" t="s">
        <v>28</v>
      </c>
      <c r="H186" s="4"/>
      <c r="I186" s="5">
        <v>3.1</v>
      </c>
      <c r="J186" s="6">
        <v>5</v>
      </c>
      <c r="K186" s="4" t="s">
        <v>29</v>
      </c>
      <c r="L186" s="4" t="s">
        <v>19</v>
      </c>
      <c r="M186" s="4" t="s">
        <v>45</v>
      </c>
      <c r="N186" s="4" t="s">
        <v>21</v>
      </c>
    </row>
    <row r="187" spans="1:14" x14ac:dyDescent="0.3">
      <c r="A187" s="4">
        <v>186</v>
      </c>
      <c r="B187" s="4">
        <v>21</v>
      </c>
      <c r="C187" s="4" t="s">
        <v>22</v>
      </c>
      <c r="D187" s="5">
        <v>9.8000000000000007</v>
      </c>
      <c r="E187" s="4" t="s">
        <v>15</v>
      </c>
      <c r="F187" s="5">
        <v>6.3</v>
      </c>
      <c r="G187" s="4" t="s">
        <v>46</v>
      </c>
      <c r="H187" s="4"/>
      <c r="I187" s="5">
        <v>2.7</v>
      </c>
      <c r="J187" s="6">
        <v>1</v>
      </c>
      <c r="K187" s="4" t="s">
        <v>39</v>
      </c>
      <c r="L187" s="4" t="s">
        <v>45</v>
      </c>
      <c r="M187" s="4" t="s">
        <v>30</v>
      </c>
      <c r="N187" s="4" t="s">
        <v>21</v>
      </c>
    </row>
    <row r="188" spans="1:14" x14ac:dyDescent="0.3">
      <c r="A188" s="4">
        <v>187</v>
      </c>
      <c r="B188" s="4">
        <v>32</v>
      </c>
      <c r="C188" s="4" t="s">
        <v>22</v>
      </c>
      <c r="D188" s="5">
        <v>7.4</v>
      </c>
      <c r="E188" s="4" t="s">
        <v>15</v>
      </c>
      <c r="F188" s="5">
        <v>13.5</v>
      </c>
      <c r="G188" s="4" t="s">
        <v>47</v>
      </c>
      <c r="H188" s="4"/>
      <c r="I188" s="5">
        <v>4.9000000000000004</v>
      </c>
      <c r="J188" s="6">
        <v>3</v>
      </c>
      <c r="K188" s="4" t="s">
        <v>33</v>
      </c>
      <c r="L188" s="4" t="s">
        <v>45</v>
      </c>
      <c r="M188" s="4" t="s">
        <v>36</v>
      </c>
      <c r="N188" s="4" t="s">
        <v>21</v>
      </c>
    </row>
    <row r="189" spans="1:14" x14ac:dyDescent="0.3">
      <c r="A189" s="4">
        <v>188</v>
      </c>
      <c r="B189" s="4">
        <v>23</v>
      </c>
      <c r="C189" s="4" t="s">
        <v>14</v>
      </c>
      <c r="D189" s="5">
        <v>5.3</v>
      </c>
      <c r="E189" s="4" t="s">
        <v>27</v>
      </c>
      <c r="F189" s="5">
        <v>7.5</v>
      </c>
      <c r="G189" s="4" t="s">
        <v>32</v>
      </c>
      <c r="H189" s="4"/>
      <c r="I189" s="5">
        <v>2.1</v>
      </c>
      <c r="J189" s="6">
        <v>5</v>
      </c>
      <c r="K189" s="4" t="s">
        <v>18</v>
      </c>
      <c r="L189" s="4" t="s">
        <v>30</v>
      </c>
      <c r="M189" s="4" t="s">
        <v>20</v>
      </c>
      <c r="N189" s="4" t="s">
        <v>21</v>
      </c>
    </row>
    <row r="190" spans="1:14" ht="28.8" x14ac:dyDescent="0.3">
      <c r="A190" s="4">
        <v>189</v>
      </c>
      <c r="B190" s="4">
        <v>35</v>
      </c>
      <c r="C190" s="4" t="s">
        <v>22</v>
      </c>
      <c r="D190" s="5">
        <v>6</v>
      </c>
      <c r="E190" s="4" t="s">
        <v>44</v>
      </c>
      <c r="F190" s="5">
        <v>10.5</v>
      </c>
      <c r="G190" s="4" t="s">
        <v>24</v>
      </c>
      <c r="H190" s="4"/>
      <c r="I190" s="5">
        <v>7.6</v>
      </c>
      <c r="J190" s="6">
        <v>4</v>
      </c>
      <c r="K190" s="4" t="s">
        <v>33</v>
      </c>
      <c r="L190" s="4" t="s">
        <v>19</v>
      </c>
      <c r="M190" s="4" t="s">
        <v>45</v>
      </c>
      <c r="N190" s="4" t="s">
        <v>21</v>
      </c>
    </row>
    <row r="191" spans="1:14" x14ac:dyDescent="0.3">
      <c r="A191" s="4">
        <v>190</v>
      </c>
      <c r="B191" s="4">
        <v>33</v>
      </c>
      <c r="C191" s="4" t="s">
        <v>40</v>
      </c>
      <c r="D191" s="5">
        <v>8.1</v>
      </c>
      <c r="E191" s="4" t="s">
        <v>37</v>
      </c>
      <c r="F191" s="5">
        <v>7.6</v>
      </c>
      <c r="G191" s="4" t="s">
        <v>35</v>
      </c>
      <c r="H191" s="4"/>
      <c r="I191" s="5">
        <v>7.9</v>
      </c>
      <c r="J191" s="6">
        <v>2</v>
      </c>
      <c r="K191" s="4" t="s">
        <v>39</v>
      </c>
      <c r="L191" s="4" t="s">
        <v>30</v>
      </c>
      <c r="M191" s="4" t="s">
        <v>36</v>
      </c>
      <c r="N191" s="4" t="s">
        <v>21</v>
      </c>
    </row>
    <row r="192" spans="1:14" x14ac:dyDescent="0.3">
      <c r="A192" s="4">
        <v>191</v>
      </c>
      <c r="B192" s="4">
        <v>35</v>
      </c>
      <c r="C192" s="4" t="s">
        <v>22</v>
      </c>
      <c r="D192" s="5">
        <v>2.2000000000000002</v>
      </c>
      <c r="E192" s="4" t="s">
        <v>44</v>
      </c>
      <c r="F192" s="5">
        <v>13.9</v>
      </c>
      <c r="G192" s="4" t="s">
        <v>47</v>
      </c>
      <c r="H192" s="4"/>
      <c r="I192" s="5">
        <v>6.7</v>
      </c>
      <c r="J192" s="6">
        <v>5</v>
      </c>
      <c r="K192" s="4" t="s">
        <v>33</v>
      </c>
      <c r="L192" s="4" t="s">
        <v>19</v>
      </c>
      <c r="M192" s="4" t="s">
        <v>30</v>
      </c>
      <c r="N192" s="4" t="s">
        <v>21</v>
      </c>
    </row>
    <row r="193" spans="1:14" x14ac:dyDescent="0.3">
      <c r="A193" s="4">
        <v>192</v>
      </c>
      <c r="B193" s="4">
        <v>29</v>
      </c>
      <c r="C193" s="4" t="s">
        <v>22</v>
      </c>
      <c r="D193" s="5">
        <v>3.8</v>
      </c>
      <c r="E193" s="4" t="s">
        <v>34</v>
      </c>
      <c r="F193" s="5">
        <v>10.9</v>
      </c>
      <c r="G193" s="4" t="s">
        <v>28</v>
      </c>
      <c r="H193" s="4"/>
      <c r="I193" s="5">
        <v>7.8</v>
      </c>
      <c r="J193" s="6">
        <v>2</v>
      </c>
      <c r="K193" s="4" t="s">
        <v>18</v>
      </c>
      <c r="L193" s="4" t="s">
        <v>25</v>
      </c>
      <c r="M193" s="4" t="s">
        <v>30</v>
      </c>
      <c r="N193" s="4" t="s">
        <v>21</v>
      </c>
    </row>
    <row r="194" spans="1:14" x14ac:dyDescent="0.3">
      <c r="A194" s="4">
        <v>193</v>
      </c>
      <c r="B194" s="4">
        <v>16</v>
      </c>
      <c r="C194" s="4" t="s">
        <v>40</v>
      </c>
      <c r="D194" s="5">
        <v>7.8</v>
      </c>
      <c r="E194" s="4" t="s">
        <v>27</v>
      </c>
      <c r="F194" s="5">
        <v>13.8</v>
      </c>
      <c r="G194" s="4" t="s">
        <v>41</v>
      </c>
      <c r="H194" s="4"/>
      <c r="I194" s="5">
        <v>3.1</v>
      </c>
      <c r="J194" s="6">
        <v>4</v>
      </c>
      <c r="K194" s="4" t="s">
        <v>18</v>
      </c>
      <c r="L194" s="4" t="s">
        <v>25</v>
      </c>
      <c r="M194" s="4" t="s">
        <v>36</v>
      </c>
      <c r="N194" s="4" t="s">
        <v>21</v>
      </c>
    </row>
    <row r="195" spans="1:14" x14ac:dyDescent="0.3">
      <c r="A195" s="4">
        <v>194</v>
      </c>
      <c r="B195" s="4">
        <v>35</v>
      </c>
      <c r="C195" s="4" t="s">
        <v>40</v>
      </c>
      <c r="D195" s="5">
        <v>3.2</v>
      </c>
      <c r="E195" s="4" t="s">
        <v>42</v>
      </c>
      <c r="F195" s="5">
        <v>10.1</v>
      </c>
      <c r="G195" s="4" t="s">
        <v>28</v>
      </c>
      <c r="H195" s="4"/>
      <c r="I195" s="5">
        <v>5.6</v>
      </c>
      <c r="J195" s="6">
        <v>10</v>
      </c>
      <c r="K195" s="4" t="s">
        <v>33</v>
      </c>
      <c r="L195" s="4" t="s">
        <v>25</v>
      </c>
      <c r="M195" s="4" t="s">
        <v>20</v>
      </c>
      <c r="N195" s="4" t="s">
        <v>21</v>
      </c>
    </row>
    <row r="196" spans="1:14" x14ac:dyDescent="0.3">
      <c r="A196" s="4">
        <v>195</v>
      </c>
      <c r="B196" s="4">
        <v>30</v>
      </c>
      <c r="C196" s="4" t="s">
        <v>14</v>
      </c>
      <c r="D196" s="5">
        <v>2.2000000000000002</v>
      </c>
      <c r="E196" s="4" t="s">
        <v>15</v>
      </c>
      <c r="F196" s="5">
        <v>10.3</v>
      </c>
      <c r="G196" s="4" t="s">
        <v>47</v>
      </c>
      <c r="H196" s="4"/>
      <c r="I196" s="5">
        <v>7.8</v>
      </c>
      <c r="J196" s="6">
        <v>7</v>
      </c>
      <c r="K196" s="4" t="s">
        <v>29</v>
      </c>
      <c r="L196" s="4" t="s">
        <v>45</v>
      </c>
      <c r="M196" s="4" t="s">
        <v>30</v>
      </c>
      <c r="N196" s="4" t="s">
        <v>21</v>
      </c>
    </row>
    <row r="197" spans="1:14" x14ac:dyDescent="0.3">
      <c r="A197" s="4">
        <v>196</v>
      </c>
      <c r="B197" s="4">
        <v>24</v>
      </c>
      <c r="C197" s="4" t="s">
        <v>14</v>
      </c>
      <c r="D197" s="5">
        <v>9</v>
      </c>
      <c r="E197" s="4" t="s">
        <v>15</v>
      </c>
      <c r="F197" s="5">
        <v>5.3</v>
      </c>
      <c r="G197" s="4" t="s">
        <v>43</v>
      </c>
      <c r="H197" s="4"/>
      <c r="I197" s="5">
        <v>1.2</v>
      </c>
      <c r="J197" s="6">
        <v>6</v>
      </c>
      <c r="K197" s="4" t="s">
        <v>29</v>
      </c>
      <c r="L197" s="4" t="s">
        <v>45</v>
      </c>
      <c r="M197" s="4" t="s">
        <v>30</v>
      </c>
      <c r="N197" s="4" t="s">
        <v>21</v>
      </c>
    </row>
    <row r="198" spans="1:14" x14ac:dyDescent="0.3">
      <c r="A198" s="4">
        <v>197</v>
      </c>
      <c r="B198" s="4">
        <v>23</v>
      </c>
      <c r="C198" s="4" t="s">
        <v>14</v>
      </c>
      <c r="D198" s="5">
        <v>5</v>
      </c>
      <c r="E198" s="4" t="s">
        <v>44</v>
      </c>
      <c r="F198" s="5">
        <v>4.4000000000000004</v>
      </c>
      <c r="G198" s="4" t="s">
        <v>16</v>
      </c>
      <c r="H198" s="4" t="s">
        <v>50</v>
      </c>
      <c r="I198" s="5">
        <v>7</v>
      </c>
      <c r="J198" s="6">
        <v>7</v>
      </c>
      <c r="K198" s="4" t="s">
        <v>29</v>
      </c>
      <c r="L198" s="4" t="s">
        <v>25</v>
      </c>
      <c r="M198" s="4" t="s">
        <v>20</v>
      </c>
      <c r="N198" s="4" t="s">
        <v>21</v>
      </c>
    </row>
    <row r="199" spans="1:14" x14ac:dyDescent="0.3">
      <c r="A199" s="4">
        <v>198</v>
      </c>
      <c r="B199" s="4">
        <v>18</v>
      </c>
      <c r="C199" s="4" t="s">
        <v>14</v>
      </c>
      <c r="D199" s="5">
        <v>6.2</v>
      </c>
      <c r="E199" s="4" t="s">
        <v>42</v>
      </c>
      <c r="F199" s="5">
        <v>10.5</v>
      </c>
      <c r="G199" s="4" t="s">
        <v>32</v>
      </c>
      <c r="H199" s="4"/>
      <c r="I199" s="5">
        <v>2.2000000000000002</v>
      </c>
      <c r="J199" s="6">
        <v>2</v>
      </c>
      <c r="K199" s="4" t="s">
        <v>29</v>
      </c>
      <c r="L199" s="4" t="s">
        <v>19</v>
      </c>
      <c r="M199" s="4" t="s">
        <v>45</v>
      </c>
      <c r="N199" s="4" t="s">
        <v>21</v>
      </c>
    </row>
    <row r="200" spans="1:14" x14ac:dyDescent="0.3">
      <c r="A200" s="4">
        <v>199</v>
      </c>
      <c r="B200" s="4">
        <v>21</v>
      </c>
      <c r="C200" s="4" t="s">
        <v>14</v>
      </c>
      <c r="D200" s="5">
        <v>8.4</v>
      </c>
      <c r="E200" s="4" t="s">
        <v>37</v>
      </c>
      <c r="F200" s="5">
        <v>11.9</v>
      </c>
      <c r="G200" s="4" t="s">
        <v>35</v>
      </c>
      <c r="H200" s="4"/>
      <c r="I200" s="5">
        <v>5.6</v>
      </c>
      <c r="J200" s="6">
        <v>2</v>
      </c>
      <c r="K200" s="4" t="s">
        <v>33</v>
      </c>
      <c r="L200" s="4" t="s">
        <v>30</v>
      </c>
      <c r="M200" s="4" t="s">
        <v>30</v>
      </c>
      <c r="N200" s="4" t="s">
        <v>21</v>
      </c>
    </row>
    <row r="201" spans="1:14" x14ac:dyDescent="0.3">
      <c r="A201" s="4">
        <v>200</v>
      </c>
      <c r="B201" s="4">
        <v>30</v>
      </c>
      <c r="C201" s="4" t="s">
        <v>14</v>
      </c>
      <c r="D201" s="5">
        <v>6.2</v>
      </c>
      <c r="E201" s="4" t="s">
        <v>34</v>
      </c>
      <c r="F201" s="5">
        <v>7.9</v>
      </c>
      <c r="G201" s="4" t="s">
        <v>47</v>
      </c>
      <c r="H201" s="4"/>
      <c r="I201" s="5">
        <v>4</v>
      </c>
      <c r="J201" s="6">
        <v>10</v>
      </c>
      <c r="K201" s="4" t="s">
        <v>33</v>
      </c>
      <c r="L201" s="4" t="s">
        <v>45</v>
      </c>
      <c r="M201" s="4" t="s">
        <v>20</v>
      </c>
      <c r="N201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ColWidth="8.88671875" defaultRowHeight="14.4" x14ac:dyDescent="0.3"/>
  <cols>
    <col min="1" max="1" width="26" customWidth="1"/>
    <col min="2" max="3" width="18" customWidth="1"/>
    <col min="4" max="6" width="14" customWidth="1"/>
  </cols>
  <sheetData>
    <row r="1" spans="1:6" x14ac:dyDescent="0.3">
      <c r="A1" s="36" t="s">
        <v>53</v>
      </c>
      <c r="B1" s="37"/>
      <c r="C1" s="37"/>
      <c r="D1" s="37"/>
      <c r="E1" s="37"/>
      <c r="F1" s="37"/>
    </row>
    <row r="2" spans="1:6" ht="57.6" x14ac:dyDescent="0.3">
      <c r="A2" s="4" t="s">
        <v>54</v>
      </c>
      <c r="B2" s="4" t="s">
        <v>55</v>
      </c>
      <c r="C2" s="4"/>
      <c r="D2" s="4"/>
      <c r="E2" s="4"/>
      <c r="F2" s="4"/>
    </row>
    <row r="3" spans="1:6" ht="28.8" x14ac:dyDescent="0.3">
      <c r="A3" s="4" t="s">
        <v>56</v>
      </c>
      <c r="B3" s="4">
        <v>297</v>
      </c>
      <c r="C3" s="4"/>
      <c r="D3" s="4"/>
      <c r="E3" s="4"/>
      <c r="F3" s="4"/>
    </row>
    <row r="4" spans="1:6" x14ac:dyDescent="0.3">
      <c r="A4" s="4" t="s">
        <v>57</v>
      </c>
      <c r="B4" s="4">
        <v>200</v>
      </c>
      <c r="C4" s="4"/>
      <c r="D4" s="4"/>
      <c r="E4" s="4"/>
      <c r="F4" s="4"/>
    </row>
    <row r="5" spans="1:6" ht="100.8" x14ac:dyDescent="0.3">
      <c r="A5" s="4" t="s">
        <v>58</v>
      </c>
      <c r="B5" s="4" t="s">
        <v>59</v>
      </c>
      <c r="C5" s="4"/>
      <c r="D5" s="4"/>
      <c r="E5" s="4"/>
      <c r="F5" s="4"/>
    </row>
    <row r="6" spans="1:6" ht="86.4" x14ac:dyDescent="0.3">
      <c r="A6" s="4" t="s">
        <v>60</v>
      </c>
      <c r="B6" s="4" t="s">
        <v>61</v>
      </c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ht="25.65" customHeight="1" x14ac:dyDescent="0.3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</row>
    <row r="9" spans="1:6" x14ac:dyDescent="0.3">
      <c r="A9" s="4" t="s">
        <v>3</v>
      </c>
      <c r="B9" s="8">
        <f>AVERAGE(Datos_limpios_200!D2:D201)</f>
        <v>5.6330000000000018</v>
      </c>
      <c r="C9" s="8">
        <f>MEDIAN(Datos_limpios_200!D2:D201)</f>
        <v>5.65</v>
      </c>
      <c r="D9" s="8">
        <f>MIN(Datos_limpios_200!D2:D201)</f>
        <v>1</v>
      </c>
      <c r="E9" s="8">
        <f>MAX(Datos_limpios_200!D2:D201)</f>
        <v>10</v>
      </c>
      <c r="F9" s="8">
        <f>COUNT(Datos_limpios_200!D2:D201)</f>
        <v>200</v>
      </c>
    </row>
    <row r="10" spans="1:6" x14ac:dyDescent="0.3">
      <c r="A10" s="4" t="s">
        <v>5</v>
      </c>
      <c r="B10" s="8">
        <f>AVERAGE(Datos_limpios_200!F2:F201)</f>
        <v>8.4859999999999989</v>
      </c>
      <c r="C10" s="8">
        <f>MEDIAN(Datos_limpios_200!F2:F201)</f>
        <v>8.4</v>
      </c>
      <c r="D10" s="8">
        <f>MIN(Datos_limpios_200!F2:F201)</f>
        <v>1.5</v>
      </c>
      <c r="E10" s="8">
        <f>MAX(Datos_limpios_200!F2:F201)</f>
        <v>14</v>
      </c>
      <c r="F10" s="8">
        <f>COUNT(Datos_limpios_200!F2:F201)</f>
        <v>200</v>
      </c>
    </row>
    <row r="11" spans="1:6" x14ac:dyDescent="0.3">
      <c r="A11" s="4" t="s">
        <v>8</v>
      </c>
      <c r="B11" s="8">
        <f>AVERAGE(Datos_limpios_200!I2:I201)</f>
        <v>3.922499999999999</v>
      </c>
      <c r="C11" s="8">
        <f>MEDIAN(Datos_limpios_200!I2:I201)</f>
        <v>3.5</v>
      </c>
      <c r="D11" s="8">
        <f>MIN(Datos_limpios_200!I2:I201)</f>
        <v>1</v>
      </c>
      <c r="E11" s="8">
        <f>MAX(Datos_limpios_200!I2:I201)</f>
        <v>8</v>
      </c>
      <c r="F11" s="8">
        <f>COUNT(Datos_limpios_200!I2:I201)</f>
        <v>200</v>
      </c>
    </row>
    <row r="12" spans="1:6" x14ac:dyDescent="0.3">
      <c r="A12" s="4" t="s">
        <v>9</v>
      </c>
      <c r="B12" s="8">
        <f>AVERAGE(Datos_limpios_200!J2:J201)</f>
        <v>5.66</v>
      </c>
      <c r="C12" s="8">
        <f>MEDIAN(Datos_limpios_200!J2:J201)</f>
        <v>6</v>
      </c>
      <c r="D12" s="8">
        <f>MIN(Datos_limpios_200!J2:J201)</f>
        <v>1</v>
      </c>
      <c r="E12" s="8">
        <f>MAX(Datos_limpios_200!J2:J201)</f>
        <v>10</v>
      </c>
      <c r="F12" s="8">
        <f>COUNT(Datos_limpios_200!J2:J201)</f>
        <v>200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"/>
  <sheetViews>
    <sheetView workbookViewId="0"/>
  </sheetViews>
  <sheetFormatPr baseColWidth="10" defaultColWidth="8.88671875" defaultRowHeight="14.4" x14ac:dyDescent="0.3"/>
  <cols>
    <col min="1" max="1" width="10" customWidth="1"/>
    <col min="2" max="2" width="28" customWidth="1"/>
    <col min="3" max="3" width="16" customWidth="1"/>
    <col min="4" max="4" width="8" customWidth="1"/>
    <col min="5" max="5" width="14" customWidth="1"/>
    <col min="6" max="6" width="18" customWidth="1"/>
    <col min="7" max="7" width="16" customWidth="1"/>
    <col min="8" max="8" width="18" customWidth="1"/>
    <col min="9" max="9" width="22" customWidth="1"/>
    <col min="10" max="10" width="18" customWidth="1"/>
    <col min="11" max="11" width="20" customWidth="1"/>
    <col min="12" max="12" width="18" customWidth="1"/>
    <col min="13" max="15" width="24" customWidth="1"/>
    <col min="16" max="16" width="36" customWidth="1"/>
  </cols>
  <sheetData>
    <row r="1" spans="1:16" ht="25.65" customHeight="1" x14ac:dyDescent="0.3">
      <c r="A1" s="2" t="s">
        <v>68</v>
      </c>
      <c r="B1" s="2" t="s">
        <v>69</v>
      </c>
      <c r="C1" s="2" t="s">
        <v>70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71</v>
      </c>
    </row>
    <row r="2" spans="1:16" ht="28.8" x14ac:dyDescent="0.3">
      <c r="A2" s="4">
        <v>3</v>
      </c>
      <c r="B2" s="4" t="s">
        <v>72</v>
      </c>
      <c r="C2" s="4">
        <v>46185.512116099533</v>
      </c>
      <c r="D2" s="4">
        <v>22</v>
      </c>
      <c r="E2" s="4" t="s">
        <v>22</v>
      </c>
      <c r="F2" s="4">
        <v>62</v>
      </c>
      <c r="G2" s="4" t="s">
        <v>23</v>
      </c>
      <c r="H2" s="4">
        <v>12</v>
      </c>
      <c r="I2" s="4" t="s">
        <v>24</v>
      </c>
      <c r="J2" s="4"/>
      <c r="K2" s="4" t="s">
        <v>73</v>
      </c>
      <c r="L2" s="4">
        <v>5</v>
      </c>
      <c r="M2" s="4" t="s">
        <v>18</v>
      </c>
      <c r="N2" s="4" t="s">
        <v>25</v>
      </c>
      <c r="O2" s="4" t="s">
        <v>20</v>
      </c>
      <c r="P2" s="4" t="s">
        <v>26</v>
      </c>
    </row>
    <row r="3" spans="1:16" x14ac:dyDescent="0.3">
      <c r="A3" s="4">
        <v>4</v>
      </c>
      <c r="B3" s="4" t="s">
        <v>72</v>
      </c>
      <c r="C3" s="4">
        <v>46185.512191087968</v>
      </c>
      <c r="D3" s="4">
        <v>20</v>
      </c>
      <c r="E3" s="4" t="s">
        <v>22</v>
      </c>
      <c r="F3" s="4" t="s">
        <v>74</v>
      </c>
      <c r="G3" s="4" t="s">
        <v>27</v>
      </c>
      <c r="H3" s="4">
        <v>9</v>
      </c>
      <c r="I3" s="4" t="s">
        <v>28</v>
      </c>
      <c r="J3" s="4"/>
      <c r="K3" s="4">
        <v>5</v>
      </c>
      <c r="L3" s="4">
        <v>10</v>
      </c>
      <c r="M3" s="4" t="s">
        <v>29</v>
      </c>
      <c r="N3" s="4" t="s">
        <v>30</v>
      </c>
      <c r="O3" s="4" t="s">
        <v>20</v>
      </c>
      <c r="P3" s="4" t="s">
        <v>31</v>
      </c>
    </row>
    <row r="4" spans="1:16" ht="28.8" x14ac:dyDescent="0.3">
      <c r="A4" s="4">
        <v>202</v>
      </c>
      <c r="B4" s="4" t="s">
        <v>75</v>
      </c>
      <c r="C4" s="4">
        <v>46185.609647997684</v>
      </c>
      <c r="D4" s="4">
        <v>18</v>
      </c>
      <c r="E4" s="4" t="s">
        <v>40</v>
      </c>
      <c r="F4" s="4">
        <v>2.7</v>
      </c>
      <c r="G4" s="4" t="s">
        <v>42</v>
      </c>
      <c r="H4" s="4">
        <v>4.9000000000000004</v>
      </c>
      <c r="I4" s="4" t="s">
        <v>47</v>
      </c>
      <c r="J4" s="4"/>
      <c r="K4" s="4">
        <v>6.5</v>
      </c>
      <c r="L4" s="4">
        <v>7</v>
      </c>
      <c r="M4" s="4" t="s">
        <v>18</v>
      </c>
      <c r="N4" s="4" t="s">
        <v>45</v>
      </c>
      <c r="O4" s="4" t="s">
        <v>45</v>
      </c>
      <c r="P4" s="4" t="s">
        <v>21</v>
      </c>
    </row>
    <row r="5" spans="1:16" ht="28.8" x14ac:dyDescent="0.3">
      <c r="A5" s="4">
        <v>203</v>
      </c>
      <c r="B5" s="4" t="s">
        <v>75</v>
      </c>
      <c r="C5" s="4">
        <v>46185.60967096065</v>
      </c>
      <c r="D5" s="4">
        <v>28</v>
      </c>
      <c r="E5" s="4" t="s">
        <v>40</v>
      </c>
      <c r="F5" s="4">
        <v>4.7</v>
      </c>
      <c r="G5" s="4" t="s">
        <v>42</v>
      </c>
      <c r="H5" s="4">
        <v>8.1</v>
      </c>
      <c r="I5" s="4" t="s">
        <v>38</v>
      </c>
      <c r="J5" s="4"/>
      <c r="K5" s="4">
        <v>3.2</v>
      </c>
      <c r="L5" s="4">
        <v>3</v>
      </c>
      <c r="M5" s="4" t="s">
        <v>18</v>
      </c>
      <c r="N5" s="4" t="s">
        <v>25</v>
      </c>
      <c r="O5" s="4" t="s">
        <v>36</v>
      </c>
      <c r="P5" s="4" t="s">
        <v>21</v>
      </c>
    </row>
    <row r="6" spans="1:16" ht="28.8" x14ac:dyDescent="0.3">
      <c r="A6" s="4">
        <v>204</v>
      </c>
      <c r="B6" s="4" t="s">
        <v>75</v>
      </c>
      <c r="C6" s="4">
        <v>46185.609695416671</v>
      </c>
      <c r="D6" s="4">
        <v>17</v>
      </c>
      <c r="E6" s="4" t="s">
        <v>22</v>
      </c>
      <c r="F6" s="4">
        <v>5.4</v>
      </c>
      <c r="G6" s="4" t="s">
        <v>15</v>
      </c>
      <c r="H6" s="4">
        <v>7.7</v>
      </c>
      <c r="I6" s="4" t="s">
        <v>24</v>
      </c>
      <c r="J6" s="4"/>
      <c r="K6" s="4">
        <v>6.1</v>
      </c>
      <c r="L6" s="4">
        <v>4</v>
      </c>
      <c r="M6" s="4" t="s">
        <v>18</v>
      </c>
      <c r="N6" s="4" t="s">
        <v>19</v>
      </c>
      <c r="O6" s="4" t="s">
        <v>20</v>
      </c>
      <c r="P6" s="4" t="s">
        <v>21</v>
      </c>
    </row>
    <row r="7" spans="1:16" ht="28.8" x14ac:dyDescent="0.3">
      <c r="A7" s="4">
        <v>205</v>
      </c>
      <c r="B7" s="4" t="s">
        <v>75</v>
      </c>
      <c r="C7" s="4">
        <v>46185.609722152774</v>
      </c>
      <c r="D7" s="4">
        <v>24</v>
      </c>
      <c r="E7" s="4" t="s">
        <v>22</v>
      </c>
      <c r="F7" s="4">
        <v>3</v>
      </c>
      <c r="G7" s="4" t="s">
        <v>37</v>
      </c>
      <c r="H7" s="4">
        <v>4.5</v>
      </c>
      <c r="I7" s="4" t="s">
        <v>32</v>
      </c>
      <c r="J7" s="4"/>
      <c r="K7" s="4">
        <v>7.5</v>
      </c>
      <c r="L7" s="4">
        <v>6</v>
      </c>
      <c r="M7" s="4" t="s">
        <v>18</v>
      </c>
      <c r="N7" s="4" t="s">
        <v>25</v>
      </c>
      <c r="O7" s="4" t="s">
        <v>20</v>
      </c>
      <c r="P7" s="4" t="s">
        <v>21</v>
      </c>
    </row>
    <row r="8" spans="1:16" ht="28.8" x14ac:dyDescent="0.3">
      <c r="A8" s="4">
        <v>206</v>
      </c>
      <c r="B8" s="4" t="s">
        <v>75</v>
      </c>
      <c r="C8" s="4">
        <v>46185.609739131949</v>
      </c>
      <c r="D8" s="4">
        <v>20</v>
      </c>
      <c r="E8" s="4" t="s">
        <v>22</v>
      </c>
      <c r="F8" s="4">
        <v>2.4</v>
      </c>
      <c r="G8" s="4" t="s">
        <v>15</v>
      </c>
      <c r="H8" s="4">
        <v>5</v>
      </c>
      <c r="I8" s="4" t="s">
        <v>35</v>
      </c>
      <c r="J8" s="4"/>
      <c r="K8" s="4">
        <v>1.2</v>
      </c>
      <c r="L8" s="4">
        <v>4</v>
      </c>
      <c r="M8" s="4" t="s">
        <v>29</v>
      </c>
      <c r="N8" s="4" t="s">
        <v>45</v>
      </c>
      <c r="O8" s="4" t="s">
        <v>20</v>
      </c>
      <c r="P8" s="4" t="s">
        <v>21</v>
      </c>
    </row>
    <row r="9" spans="1:16" ht="28.8" x14ac:dyDescent="0.3">
      <c r="A9" s="4">
        <v>207</v>
      </c>
      <c r="B9" s="4" t="s">
        <v>75</v>
      </c>
      <c r="C9" s="4">
        <v>46185.609765763889</v>
      </c>
      <c r="D9" s="4">
        <v>28</v>
      </c>
      <c r="E9" s="4" t="s">
        <v>14</v>
      </c>
      <c r="F9" s="4">
        <v>10</v>
      </c>
      <c r="G9" s="4" t="s">
        <v>42</v>
      </c>
      <c r="H9" s="4">
        <v>12</v>
      </c>
      <c r="I9" s="4" t="s">
        <v>41</v>
      </c>
      <c r="J9" s="4"/>
      <c r="K9" s="4">
        <v>6.2</v>
      </c>
      <c r="L9" s="4">
        <v>5</v>
      </c>
      <c r="M9" s="4" t="s">
        <v>39</v>
      </c>
      <c r="N9" s="4" t="s">
        <v>45</v>
      </c>
      <c r="O9" s="4" t="s">
        <v>20</v>
      </c>
      <c r="P9" s="4" t="s">
        <v>21</v>
      </c>
    </row>
    <row r="10" spans="1:16" ht="28.8" x14ac:dyDescent="0.3">
      <c r="A10" s="4">
        <v>208</v>
      </c>
      <c r="B10" s="4" t="s">
        <v>75</v>
      </c>
      <c r="C10" s="4">
        <v>46185.609793854164</v>
      </c>
      <c r="D10" s="4">
        <v>16</v>
      </c>
      <c r="E10" s="4" t="s">
        <v>40</v>
      </c>
      <c r="F10" s="4">
        <v>9.3000000000000007</v>
      </c>
      <c r="G10" s="4" t="s">
        <v>27</v>
      </c>
      <c r="H10" s="4">
        <v>12.6</v>
      </c>
      <c r="I10" s="4" t="s">
        <v>24</v>
      </c>
      <c r="J10" s="4"/>
      <c r="K10" s="4">
        <v>5.7</v>
      </c>
      <c r="L10" s="4">
        <v>5</v>
      </c>
      <c r="M10" s="4" t="s">
        <v>18</v>
      </c>
      <c r="N10" s="4" t="s">
        <v>30</v>
      </c>
      <c r="O10" s="4" t="s">
        <v>45</v>
      </c>
      <c r="P10" s="4" t="s">
        <v>21</v>
      </c>
    </row>
    <row r="11" spans="1:16" ht="28.8" x14ac:dyDescent="0.3">
      <c r="A11" s="4">
        <v>209</v>
      </c>
      <c r="B11" s="4" t="s">
        <v>75</v>
      </c>
      <c r="C11" s="4">
        <v>46185.609819224541</v>
      </c>
      <c r="D11" s="4">
        <v>27</v>
      </c>
      <c r="E11" s="4" t="s">
        <v>40</v>
      </c>
      <c r="F11" s="4">
        <v>5.2</v>
      </c>
      <c r="G11" s="4" t="s">
        <v>34</v>
      </c>
      <c r="H11" s="4">
        <v>6.3</v>
      </c>
      <c r="I11" s="4" t="s">
        <v>32</v>
      </c>
      <c r="J11" s="4"/>
      <c r="K11" s="4">
        <v>6.5</v>
      </c>
      <c r="L11" s="4">
        <v>6</v>
      </c>
      <c r="M11" s="4" t="s">
        <v>18</v>
      </c>
      <c r="N11" s="4" t="s">
        <v>25</v>
      </c>
      <c r="O11" s="4" t="s">
        <v>30</v>
      </c>
      <c r="P11" s="4" t="s">
        <v>21</v>
      </c>
    </row>
    <row r="12" spans="1:16" ht="28.8" x14ac:dyDescent="0.3">
      <c r="A12" s="4">
        <v>210</v>
      </c>
      <c r="B12" s="4" t="s">
        <v>75</v>
      </c>
      <c r="C12" s="4">
        <v>46185.609843518519</v>
      </c>
      <c r="D12" s="4">
        <v>29</v>
      </c>
      <c r="E12" s="4" t="s">
        <v>14</v>
      </c>
      <c r="F12" s="4">
        <v>10</v>
      </c>
      <c r="G12" s="4" t="s">
        <v>37</v>
      </c>
      <c r="H12" s="4">
        <v>9.9</v>
      </c>
      <c r="I12" s="4" t="s">
        <v>16</v>
      </c>
      <c r="J12" s="4" t="s">
        <v>52</v>
      </c>
      <c r="K12" s="4">
        <v>4.0999999999999996</v>
      </c>
      <c r="L12" s="4">
        <v>10</v>
      </c>
      <c r="M12" s="4" t="s">
        <v>29</v>
      </c>
      <c r="N12" s="4" t="s">
        <v>19</v>
      </c>
      <c r="O12" s="4" t="s">
        <v>30</v>
      </c>
      <c r="P12" s="4" t="s">
        <v>21</v>
      </c>
    </row>
    <row r="13" spans="1:16" ht="28.8" x14ac:dyDescent="0.3">
      <c r="A13" s="4">
        <v>211</v>
      </c>
      <c r="B13" s="4" t="s">
        <v>75</v>
      </c>
      <c r="C13" s="4">
        <v>46185.609861469908</v>
      </c>
      <c r="D13" s="4">
        <v>26</v>
      </c>
      <c r="E13" s="4" t="s">
        <v>40</v>
      </c>
      <c r="F13" s="4">
        <v>6.7</v>
      </c>
      <c r="G13" s="4" t="s">
        <v>15</v>
      </c>
      <c r="H13" s="4">
        <v>5.5</v>
      </c>
      <c r="I13" s="4" t="s">
        <v>24</v>
      </c>
      <c r="J13" s="4"/>
      <c r="K13" s="4">
        <v>1.4</v>
      </c>
      <c r="L13" s="4">
        <v>7</v>
      </c>
      <c r="M13" s="4" t="s">
        <v>33</v>
      </c>
      <c r="N13" s="4" t="s">
        <v>45</v>
      </c>
      <c r="O13" s="4" t="s">
        <v>36</v>
      </c>
      <c r="P13" s="4" t="s">
        <v>21</v>
      </c>
    </row>
    <row r="14" spans="1:16" ht="28.8" x14ac:dyDescent="0.3">
      <c r="A14" s="4">
        <v>212</v>
      </c>
      <c r="B14" s="4" t="s">
        <v>75</v>
      </c>
      <c r="C14" s="4">
        <v>46185.609883182871</v>
      </c>
      <c r="D14" s="4">
        <v>16</v>
      </c>
      <c r="E14" s="4" t="s">
        <v>22</v>
      </c>
      <c r="F14" s="4">
        <v>7.4</v>
      </c>
      <c r="G14" s="4" t="s">
        <v>27</v>
      </c>
      <c r="H14" s="4">
        <v>4.8</v>
      </c>
      <c r="I14" s="4" t="s">
        <v>38</v>
      </c>
      <c r="J14" s="4"/>
      <c r="K14" s="4">
        <v>7.1</v>
      </c>
      <c r="L14" s="4">
        <v>1</v>
      </c>
      <c r="M14" s="4" t="s">
        <v>18</v>
      </c>
      <c r="N14" s="4" t="s">
        <v>30</v>
      </c>
      <c r="O14" s="4" t="s">
        <v>30</v>
      </c>
      <c r="P14" s="4" t="s">
        <v>21</v>
      </c>
    </row>
    <row r="15" spans="1:16" ht="28.8" x14ac:dyDescent="0.3">
      <c r="A15" s="4">
        <v>213</v>
      </c>
      <c r="B15" s="4" t="s">
        <v>75</v>
      </c>
      <c r="C15" s="4">
        <v>46185.609910462968</v>
      </c>
      <c r="D15" s="4">
        <v>16</v>
      </c>
      <c r="E15" s="4" t="s">
        <v>40</v>
      </c>
      <c r="F15" s="4">
        <v>5.4</v>
      </c>
      <c r="G15" s="4" t="s">
        <v>23</v>
      </c>
      <c r="H15" s="4">
        <v>11.3</v>
      </c>
      <c r="I15" s="4" t="s">
        <v>35</v>
      </c>
      <c r="J15" s="4"/>
      <c r="K15" s="4">
        <v>2.9</v>
      </c>
      <c r="L15" s="4">
        <v>7</v>
      </c>
      <c r="M15" s="4" t="s">
        <v>39</v>
      </c>
      <c r="N15" s="4" t="s">
        <v>19</v>
      </c>
      <c r="O15" s="4" t="s">
        <v>45</v>
      </c>
      <c r="P15" s="4" t="s">
        <v>21</v>
      </c>
    </row>
    <row r="16" spans="1:16" ht="28.8" x14ac:dyDescent="0.3">
      <c r="A16" s="4">
        <v>214</v>
      </c>
      <c r="B16" s="4" t="s">
        <v>75</v>
      </c>
      <c r="C16" s="4">
        <v>46185.609934456021</v>
      </c>
      <c r="D16" s="4">
        <v>23</v>
      </c>
      <c r="E16" s="4" t="s">
        <v>40</v>
      </c>
      <c r="F16" s="4">
        <v>8.6</v>
      </c>
      <c r="G16" s="4" t="s">
        <v>34</v>
      </c>
      <c r="H16" s="4">
        <v>6.8</v>
      </c>
      <c r="I16" s="4" t="s">
        <v>46</v>
      </c>
      <c r="J16" s="4"/>
      <c r="K16" s="4">
        <v>1.1000000000000001</v>
      </c>
      <c r="L16" s="4">
        <v>3</v>
      </c>
      <c r="M16" s="4" t="s">
        <v>18</v>
      </c>
      <c r="N16" s="4" t="s">
        <v>30</v>
      </c>
      <c r="O16" s="4" t="s">
        <v>30</v>
      </c>
      <c r="P16" s="4" t="s">
        <v>21</v>
      </c>
    </row>
    <row r="17" spans="1:16" ht="28.8" x14ac:dyDescent="0.3">
      <c r="A17" s="4">
        <v>215</v>
      </c>
      <c r="B17" s="4" t="s">
        <v>75</v>
      </c>
      <c r="C17" s="4">
        <v>46185.609968900462</v>
      </c>
      <c r="D17" s="4">
        <v>32</v>
      </c>
      <c r="E17" s="4" t="s">
        <v>40</v>
      </c>
      <c r="F17" s="4">
        <v>3.7</v>
      </c>
      <c r="G17" s="4" t="s">
        <v>23</v>
      </c>
      <c r="H17" s="4">
        <v>5.7</v>
      </c>
      <c r="I17" s="4" t="s">
        <v>38</v>
      </c>
      <c r="J17" s="4"/>
      <c r="K17" s="4">
        <v>1.4</v>
      </c>
      <c r="L17" s="4">
        <v>9</v>
      </c>
      <c r="M17" s="4" t="s">
        <v>39</v>
      </c>
      <c r="N17" s="4" t="s">
        <v>25</v>
      </c>
      <c r="O17" s="4" t="s">
        <v>36</v>
      </c>
      <c r="P17" s="4" t="s">
        <v>21</v>
      </c>
    </row>
    <row r="18" spans="1:16" ht="28.8" x14ac:dyDescent="0.3">
      <c r="A18" s="4">
        <v>216</v>
      </c>
      <c r="B18" s="4" t="s">
        <v>75</v>
      </c>
      <c r="C18" s="4">
        <v>46185.609991608799</v>
      </c>
      <c r="D18" s="4">
        <v>32</v>
      </c>
      <c r="E18" s="4" t="s">
        <v>22</v>
      </c>
      <c r="F18" s="4">
        <v>8.5</v>
      </c>
      <c r="G18" s="4" t="s">
        <v>37</v>
      </c>
      <c r="H18" s="4">
        <v>9.1</v>
      </c>
      <c r="I18" s="4" t="s">
        <v>43</v>
      </c>
      <c r="J18" s="4"/>
      <c r="K18" s="4">
        <v>3.9</v>
      </c>
      <c r="L18" s="4">
        <v>1</v>
      </c>
      <c r="M18" s="4" t="s">
        <v>39</v>
      </c>
      <c r="N18" s="4" t="s">
        <v>30</v>
      </c>
      <c r="O18" s="4" t="s">
        <v>45</v>
      </c>
      <c r="P18" s="4" t="s">
        <v>21</v>
      </c>
    </row>
    <row r="19" spans="1:16" ht="28.8" x14ac:dyDescent="0.3">
      <c r="A19" s="4">
        <v>217</v>
      </c>
      <c r="B19" s="4" t="s">
        <v>75</v>
      </c>
      <c r="C19" s="4">
        <v>46185.61001679398</v>
      </c>
      <c r="D19" s="4">
        <v>28</v>
      </c>
      <c r="E19" s="4" t="s">
        <v>40</v>
      </c>
      <c r="F19" s="4">
        <v>3.2</v>
      </c>
      <c r="G19" s="4" t="s">
        <v>34</v>
      </c>
      <c r="H19" s="4">
        <v>11.8</v>
      </c>
      <c r="I19" s="4" t="s">
        <v>28</v>
      </c>
      <c r="J19" s="4"/>
      <c r="K19" s="4">
        <v>7.9</v>
      </c>
      <c r="L19" s="4">
        <v>9</v>
      </c>
      <c r="M19" s="4" t="s">
        <v>18</v>
      </c>
      <c r="N19" s="4" t="s">
        <v>25</v>
      </c>
      <c r="O19" s="4" t="s">
        <v>36</v>
      </c>
      <c r="P19" s="4" t="s">
        <v>21</v>
      </c>
    </row>
    <row r="20" spans="1:16" ht="28.8" x14ac:dyDescent="0.3">
      <c r="A20" s="4">
        <v>218</v>
      </c>
      <c r="B20" s="4" t="s">
        <v>75</v>
      </c>
      <c r="C20" s="4">
        <v>46185.610042337961</v>
      </c>
      <c r="D20" s="4">
        <v>33</v>
      </c>
      <c r="E20" s="4" t="s">
        <v>14</v>
      </c>
      <c r="F20" s="4">
        <v>9.6</v>
      </c>
      <c r="G20" s="4" t="s">
        <v>27</v>
      </c>
      <c r="H20" s="4">
        <v>4.5</v>
      </c>
      <c r="I20" s="4" t="s">
        <v>16</v>
      </c>
      <c r="J20" s="4" t="s">
        <v>50</v>
      </c>
      <c r="K20" s="4">
        <v>7.5</v>
      </c>
      <c r="L20" s="4">
        <v>2</v>
      </c>
      <c r="M20" s="4" t="s">
        <v>18</v>
      </c>
      <c r="N20" s="4" t="s">
        <v>30</v>
      </c>
      <c r="O20" s="4" t="s">
        <v>45</v>
      </c>
      <c r="P20" s="4" t="s">
        <v>21</v>
      </c>
    </row>
    <row r="21" spans="1:16" ht="28.8" x14ac:dyDescent="0.3">
      <c r="A21" s="4">
        <v>219</v>
      </c>
      <c r="B21" s="4" t="s">
        <v>75</v>
      </c>
      <c r="C21" s="4">
        <v>46185.610065590277</v>
      </c>
      <c r="D21" s="4">
        <v>19</v>
      </c>
      <c r="E21" s="4" t="s">
        <v>22</v>
      </c>
      <c r="F21" s="4">
        <v>4.2</v>
      </c>
      <c r="G21" s="4" t="s">
        <v>42</v>
      </c>
      <c r="H21" s="4">
        <v>13.9</v>
      </c>
      <c r="I21" s="4" t="s">
        <v>24</v>
      </c>
      <c r="J21" s="4"/>
      <c r="K21" s="4">
        <v>5.7</v>
      </c>
      <c r="L21" s="4">
        <v>1</v>
      </c>
      <c r="M21" s="4" t="s">
        <v>39</v>
      </c>
      <c r="N21" s="4" t="s">
        <v>45</v>
      </c>
      <c r="O21" s="4" t="s">
        <v>36</v>
      </c>
      <c r="P21" s="4" t="s">
        <v>21</v>
      </c>
    </row>
    <row r="22" spans="1:16" ht="28.8" x14ac:dyDescent="0.3">
      <c r="A22" s="4">
        <v>220</v>
      </c>
      <c r="B22" s="4" t="s">
        <v>75</v>
      </c>
      <c r="C22" s="4">
        <v>46185.610083240739</v>
      </c>
      <c r="D22" s="4">
        <v>20</v>
      </c>
      <c r="E22" s="4" t="s">
        <v>22</v>
      </c>
      <c r="F22" s="4">
        <v>3.8</v>
      </c>
      <c r="G22" s="4" t="s">
        <v>37</v>
      </c>
      <c r="H22" s="4">
        <v>5.9</v>
      </c>
      <c r="I22" s="4" t="s">
        <v>16</v>
      </c>
      <c r="J22" s="4" t="s">
        <v>51</v>
      </c>
      <c r="K22" s="4">
        <v>3.8</v>
      </c>
      <c r="L22" s="4">
        <v>9</v>
      </c>
      <c r="M22" s="4" t="s">
        <v>29</v>
      </c>
      <c r="N22" s="4" t="s">
        <v>25</v>
      </c>
      <c r="O22" s="4" t="s">
        <v>45</v>
      </c>
      <c r="P22" s="4" t="s">
        <v>21</v>
      </c>
    </row>
    <row r="23" spans="1:16" ht="28.8" x14ac:dyDescent="0.3">
      <c r="A23" s="4">
        <v>221</v>
      </c>
      <c r="B23" s="4" t="s">
        <v>75</v>
      </c>
      <c r="C23" s="4">
        <v>46185.610108946756</v>
      </c>
      <c r="D23" s="4">
        <v>34</v>
      </c>
      <c r="E23" s="4" t="s">
        <v>22</v>
      </c>
      <c r="F23" s="4">
        <v>5</v>
      </c>
      <c r="G23" s="4" t="s">
        <v>15</v>
      </c>
      <c r="H23" s="4">
        <v>5.9</v>
      </c>
      <c r="I23" s="4" t="s">
        <v>28</v>
      </c>
      <c r="J23" s="4"/>
      <c r="K23" s="4">
        <v>3.6</v>
      </c>
      <c r="L23" s="4">
        <v>9</v>
      </c>
      <c r="M23" s="4" t="s">
        <v>39</v>
      </c>
      <c r="N23" s="4" t="s">
        <v>25</v>
      </c>
      <c r="O23" s="4" t="s">
        <v>45</v>
      </c>
      <c r="P23" s="4" t="s">
        <v>21</v>
      </c>
    </row>
    <row r="24" spans="1:16" ht="28.8" x14ac:dyDescent="0.3">
      <c r="A24" s="4">
        <v>222</v>
      </c>
      <c r="B24" s="4" t="s">
        <v>75</v>
      </c>
      <c r="C24" s="4">
        <v>46185.610129918983</v>
      </c>
      <c r="D24" s="4">
        <v>29</v>
      </c>
      <c r="E24" s="4" t="s">
        <v>40</v>
      </c>
      <c r="F24" s="4">
        <v>5</v>
      </c>
      <c r="G24" s="4" t="s">
        <v>42</v>
      </c>
      <c r="H24" s="4">
        <v>4.9000000000000004</v>
      </c>
      <c r="I24" s="4" t="s">
        <v>24</v>
      </c>
      <c r="J24" s="4"/>
      <c r="K24" s="4">
        <v>2.5</v>
      </c>
      <c r="L24" s="4">
        <v>5</v>
      </c>
      <c r="M24" s="4" t="s">
        <v>33</v>
      </c>
      <c r="N24" s="4" t="s">
        <v>45</v>
      </c>
      <c r="O24" s="4" t="s">
        <v>36</v>
      </c>
      <c r="P24" s="4" t="s">
        <v>21</v>
      </c>
    </row>
    <row r="25" spans="1:16" ht="28.8" x14ac:dyDescent="0.3">
      <c r="A25" s="4">
        <v>223</v>
      </c>
      <c r="B25" s="4" t="s">
        <v>75</v>
      </c>
      <c r="C25" s="4">
        <v>46185.610147418978</v>
      </c>
      <c r="D25" s="4">
        <v>31</v>
      </c>
      <c r="E25" s="4" t="s">
        <v>14</v>
      </c>
      <c r="F25" s="4">
        <v>3.8</v>
      </c>
      <c r="G25" s="4" t="s">
        <v>15</v>
      </c>
      <c r="H25" s="4">
        <v>4.2</v>
      </c>
      <c r="I25" s="4" t="s">
        <v>38</v>
      </c>
      <c r="J25" s="4"/>
      <c r="K25" s="4">
        <v>4.2</v>
      </c>
      <c r="L25" s="4">
        <v>1</v>
      </c>
      <c r="M25" s="4" t="s">
        <v>29</v>
      </c>
      <c r="N25" s="4" t="s">
        <v>45</v>
      </c>
      <c r="O25" s="4" t="s">
        <v>45</v>
      </c>
      <c r="P25" s="4" t="s">
        <v>21</v>
      </c>
    </row>
    <row r="26" spans="1:16" ht="28.8" x14ac:dyDescent="0.3">
      <c r="A26" s="4">
        <v>224</v>
      </c>
      <c r="B26" s="4" t="s">
        <v>75</v>
      </c>
      <c r="C26" s="4">
        <v>46185.610171238426</v>
      </c>
      <c r="D26" s="4">
        <v>20</v>
      </c>
      <c r="E26" s="4" t="s">
        <v>40</v>
      </c>
      <c r="F26" s="4">
        <v>4</v>
      </c>
      <c r="G26" s="4" t="s">
        <v>15</v>
      </c>
      <c r="H26" s="4">
        <v>13.9</v>
      </c>
      <c r="I26" s="4" t="s">
        <v>16</v>
      </c>
      <c r="J26" s="4" t="s">
        <v>76</v>
      </c>
      <c r="K26" s="4">
        <v>6.2</v>
      </c>
      <c r="L26" s="4">
        <v>1</v>
      </c>
      <c r="M26" s="4" t="s">
        <v>18</v>
      </c>
      <c r="N26" s="4" t="s">
        <v>30</v>
      </c>
      <c r="O26" s="4" t="s">
        <v>36</v>
      </c>
      <c r="P26" s="4" t="s">
        <v>21</v>
      </c>
    </row>
    <row r="27" spans="1:16" ht="28.8" x14ac:dyDescent="0.3">
      <c r="A27" s="4">
        <v>225</v>
      </c>
      <c r="B27" s="4" t="s">
        <v>75</v>
      </c>
      <c r="C27" s="4">
        <v>46185.610193541666</v>
      </c>
      <c r="D27" s="4">
        <v>19</v>
      </c>
      <c r="E27" s="4" t="s">
        <v>22</v>
      </c>
      <c r="F27" s="4">
        <v>3.2</v>
      </c>
      <c r="G27" s="4" t="s">
        <v>23</v>
      </c>
      <c r="H27" s="4">
        <v>10.3</v>
      </c>
      <c r="I27" s="4" t="s">
        <v>24</v>
      </c>
      <c r="J27" s="4"/>
      <c r="K27" s="4">
        <v>7.9</v>
      </c>
      <c r="L27" s="4">
        <v>8</v>
      </c>
      <c r="M27" s="4" t="s">
        <v>18</v>
      </c>
      <c r="N27" s="4" t="s">
        <v>45</v>
      </c>
      <c r="O27" s="4" t="s">
        <v>30</v>
      </c>
      <c r="P27" s="4" t="s">
        <v>21</v>
      </c>
    </row>
    <row r="28" spans="1:16" ht="28.8" x14ac:dyDescent="0.3">
      <c r="A28" s="4">
        <v>226</v>
      </c>
      <c r="B28" s="4" t="s">
        <v>75</v>
      </c>
      <c r="C28" s="4">
        <v>46185.610214270833</v>
      </c>
      <c r="D28" s="4">
        <v>18</v>
      </c>
      <c r="E28" s="4" t="s">
        <v>40</v>
      </c>
      <c r="F28" s="4">
        <v>9.6</v>
      </c>
      <c r="G28" s="4" t="s">
        <v>27</v>
      </c>
      <c r="H28" s="4">
        <v>5.9</v>
      </c>
      <c r="I28" s="4" t="s">
        <v>46</v>
      </c>
      <c r="J28" s="4"/>
      <c r="K28" s="4">
        <v>7.7</v>
      </c>
      <c r="L28" s="4">
        <v>10</v>
      </c>
      <c r="M28" s="4" t="s">
        <v>39</v>
      </c>
      <c r="N28" s="4" t="s">
        <v>19</v>
      </c>
      <c r="O28" s="4" t="s">
        <v>30</v>
      </c>
      <c r="P28" s="4" t="s">
        <v>21</v>
      </c>
    </row>
    <row r="29" spans="1:16" ht="28.8" x14ac:dyDescent="0.3">
      <c r="A29" s="4">
        <v>227</v>
      </c>
      <c r="B29" s="4" t="s">
        <v>75</v>
      </c>
      <c r="C29" s="4">
        <v>46185.61023564815</v>
      </c>
      <c r="D29" s="4">
        <v>27</v>
      </c>
      <c r="E29" s="4" t="s">
        <v>22</v>
      </c>
      <c r="F29" s="4">
        <v>2.1</v>
      </c>
      <c r="G29" s="4" t="s">
        <v>34</v>
      </c>
      <c r="H29" s="4">
        <v>9.9</v>
      </c>
      <c r="I29" s="4" t="s">
        <v>43</v>
      </c>
      <c r="J29" s="4"/>
      <c r="K29" s="4">
        <v>6.1</v>
      </c>
      <c r="L29" s="4">
        <v>3</v>
      </c>
      <c r="M29" s="4" t="s">
        <v>29</v>
      </c>
      <c r="N29" s="4" t="s">
        <v>30</v>
      </c>
      <c r="O29" s="4" t="s">
        <v>45</v>
      </c>
      <c r="P29" s="4" t="s">
        <v>21</v>
      </c>
    </row>
    <row r="30" spans="1:16" ht="28.8" x14ac:dyDescent="0.3">
      <c r="A30" s="4">
        <v>228</v>
      </c>
      <c r="B30" s="4" t="s">
        <v>75</v>
      </c>
      <c r="C30" s="4">
        <v>46185.610253993058</v>
      </c>
      <c r="D30" s="4">
        <v>35</v>
      </c>
      <c r="E30" s="4" t="s">
        <v>22</v>
      </c>
      <c r="F30" s="4">
        <v>4.2</v>
      </c>
      <c r="G30" s="4" t="s">
        <v>23</v>
      </c>
      <c r="H30" s="4">
        <v>7.6</v>
      </c>
      <c r="I30" s="4" t="s">
        <v>38</v>
      </c>
      <c r="J30" s="4"/>
      <c r="K30" s="4">
        <v>4.9000000000000004</v>
      </c>
      <c r="L30" s="4">
        <v>7</v>
      </c>
      <c r="M30" s="4" t="s">
        <v>29</v>
      </c>
      <c r="N30" s="4" t="s">
        <v>19</v>
      </c>
      <c r="O30" s="4" t="s">
        <v>36</v>
      </c>
      <c r="P30" s="4" t="s">
        <v>21</v>
      </c>
    </row>
    <row r="31" spans="1:16" ht="28.8" x14ac:dyDescent="0.3">
      <c r="A31" s="4">
        <v>229</v>
      </c>
      <c r="B31" s="4" t="s">
        <v>75</v>
      </c>
      <c r="C31" s="4">
        <v>46185.610281354166</v>
      </c>
      <c r="D31" s="4">
        <v>20</v>
      </c>
      <c r="E31" s="4" t="s">
        <v>22</v>
      </c>
      <c r="F31" s="4">
        <v>8.6999999999999993</v>
      </c>
      <c r="G31" s="4" t="s">
        <v>37</v>
      </c>
      <c r="H31" s="4">
        <v>7.6</v>
      </c>
      <c r="I31" s="4" t="s">
        <v>38</v>
      </c>
      <c r="J31" s="4"/>
      <c r="K31" s="4">
        <v>4.8</v>
      </c>
      <c r="L31" s="4">
        <v>3</v>
      </c>
      <c r="M31" s="4" t="s">
        <v>29</v>
      </c>
      <c r="N31" s="4" t="s">
        <v>30</v>
      </c>
      <c r="O31" s="4" t="s">
        <v>36</v>
      </c>
      <c r="P31" s="4" t="s">
        <v>21</v>
      </c>
    </row>
    <row r="32" spans="1:16" ht="28.8" x14ac:dyDescent="0.3">
      <c r="A32" s="4">
        <v>230</v>
      </c>
      <c r="B32" s="4" t="s">
        <v>75</v>
      </c>
      <c r="C32" s="4">
        <v>46185.610306689814</v>
      </c>
      <c r="D32" s="4">
        <v>20</v>
      </c>
      <c r="E32" s="4" t="s">
        <v>22</v>
      </c>
      <c r="F32" s="4">
        <v>2.4</v>
      </c>
      <c r="G32" s="4" t="s">
        <v>15</v>
      </c>
      <c r="H32" s="4">
        <v>6.1</v>
      </c>
      <c r="I32" s="4" t="s">
        <v>47</v>
      </c>
      <c r="J32" s="4"/>
      <c r="K32" s="4">
        <v>7.5</v>
      </c>
      <c r="L32" s="4">
        <v>2</v>
      </c>
      <c r="M32" s="4" t="s">
        <v>29</v>
      </c>
      <c r="N32" s="4" t="s">
        <v>19</v>
      </c>
      <c r="O32" s="4" t="s">
        <v>36</v>
      </c>
      <c r="P32" s="4" t="s">
        <v>21</v>
      </c>
    </row>
    <row r="33" spans="1:16" ht="28.8" x14ac:dyDescent="0.3">
      <c r="A33" s="4">
        <v>231</v>
      </c>
      <c r="B33" s="4" t="s">
        <v>75</v>
      </c>
      <c r="C33" s="4">
        <v>46185.610333842589</v>
      </c>
      <c r="D33" s="4">
        <v>17</v>
      </c>
      <c r="E33" s="4" t="s">
        <v>22</v>
      </c>
      <c r="F33" s="4">
        <v>4.5999999999999996</v>
      </c>
      <c r="G33" s="4" t="s">
        <v>42</v>
      </c>
      <c r="H33" s="4">
        <v>5.5</v>
      </c>
      <c r="I33" s="4" t="s">
        <v>24</v>
      </c>
      <c r="J33" s="4"/>
      <c r="K33" s="4">
        <v>3.1</v>
      </c>
      <c r="L33" s="4">
        <v>6</v>
      </c>
      <c r="M33" s="4" t="s">
        <v>39</v>
      </c>
      <c r="N33" s="4" t="s">
        <v>19</v>
      </c>
      <c r="O33" s="4" t="s">
        <v>45</v>
      </c>
      <c r="P33" s="4" t="s">
        <v>21</v>
      </c>
    </row>
    <row r="34" spans="1:16" ht="28.8" x14ac:dyDescent="0.3">
      <c r="A34" s="4">
        <v>232</v>
      </c>
      <c r="B34" s="4" t="s">
        <v>75</v>
      </c>
      <c r="C34" s="4">
        <v>46185.610360439816</v>
      </c>
      <c r="D34" s="4">
        <v>18</v>
      </c>
      <c r="E34" s="4" t="s">
        <v>22</v>
      </c>
      <c r="F34" s="4">
        <v>6.4</v>
      </c>
      <c r="G34" s="4" t="s">
        <v>27</v>
      </c>
      <c r="H34" s="4">
        <v>11.3</v>
      </c>
      <c r="I34" s="4" t="s">
        <v>38</v>
      </c>
      <c r="J34" s="4"/>
      <c r="K34" s="4">
        <v>3.4</v>
      </c>
      <c r="L34" s="4">
        <v>5</v>
      </c>
      <c r="M34" s="4" t="s">
        <v>39</v>
      </c>
      <c r="N34" s="4" t="s">
        <v>45</v>
      </c>
      <c r="O34" s="4" t="s">
        <v>20</v>
      </c>
      <c r="P34" s="4" t="s">
        <v>21</v>
      </c>
    </row>
    <row r="35" spans="1:16" ht="28.8" x14ac:dyDescent="0.3">
      <c r="A35" s="4">
        <v>233</v>
      </c>
      <c r="B35" s="4" t="s">
        <v>75</v>
      </c>
      <c r="C35" s="4">
        <v>46185.610388032408</v>
      </c>
      <c r="D35" s="4">
        <v>18</v>
      </c>
      <c r="E35" s="4" t="s">
        <v>14</v>
      </c>
      <c r="F35" s="4">
        <v>8.4</v>
      </c>
      <c r="G35" s="4" t="s">
        <v>37</v>
      </c>
      <c r="H35" s="4">
        <v>12.7</v>
      </c>
      <c r="I35" s="4" t="s">
        <v>38</v>
      </c>
      <c r="J35" s="4"/>
      <c r="K35" s="4">
        <v>3.8</v>
      </c>
      <c r="L35" s="4">
        <v>7</v>
      </c>
      <c r="M35" s="4" t="s">
        <v>39</v>
      </c>
      <c r="N35" s="4" t="s">
        <v>30</v>
      </c>
      <c r="O35" s="4" t="s">
        <v>45</v>
      </c>
      <c r="P35" s="4" t="s">
        <v>21</v>
      </c>
    </row>
    <row r="36" spans="1:16" ht="28.8" x14ac:dyDescent="0.3">
      <c r="A36" s="4">
        <v>234</v>
      </c>
      <c r="B36" s="4" t="s">
        <v>75</v>
      </c>
      <c r="C36" s="4">
        <v>46185.610410300927</v>
      </c>
      <c r="D36" s="4">
        <v>18</v>
      </c>
      <c r="E36" s="4" t="s">
        <v>14</v>
      </c>
      <c r="F36" s="4">
        <v>6.2</v>
      </c>
      <c r="G36" s="4" t="s">
        <v>23</v>
      </c>
      <c r="H36" s="4">
        <v>4.3</v>
      </c>
      <c r="I36" s="4" t="s">
        <v>35</v>
      </c>
      <c r="J36" s="4"/>
      <c r="K36" s="4">
        <v>2.5</v>
      </c>
      <c r="L36" s="4">
        <v>3</v>
      </c>
      <c r="M36" s="4" t="s">
        <v>39</v>
      </c>
      <c r="N36" s="4" t="s">
        <v>45</v>
      </c>
      <c r="O36" s="4" t="s">
        <v>45</v>
      </c>
      <c r="P36" s="4" t="s">
        <v>21</v>
      </c>
    </row>
    <row r="37" spans="1:16" ht="28.8" x14ac:dyDescent="0.3">
      <c r="A37" s="4">
        <v>235</v>
      </c>
      <c r="B37" s="4" t="s">
        <v>75</v>
      </c>
      <c r="C37" s="4">
        <v>46185.610429374996</v>
      </c>
      <c r="D37" s="4">
        <v>22</v>
      </c>
      <c r="E37" s="4" t="s">
        <v>40</v>
      </c>
      <c r="F37" s="4">
        <v>7.9</v>
      </c>
      <c r="G37" s="4" t="s">
        <v>34</v>
      </c>
      <c r="H37" s="4">
        <v>13</v>
      </c>
      <c r="I37" s="4" t="s">
        <v>24</v>
      </c>
      <c r="J37" s="4"/>
      <c r="K37" s="4">
        <v>7</v>
      </c>
      <c r="L37" s="4">
        <v>9</v>
      </c>
      <c r="M37" s="4" t="s">
        <v>33</v>
      </c>
      <c r="N37" s="4" t="s">
        <v>19</v>
      </c>
      <c r="O37" s="4" t="s">
        <v>45</v>
      </c>
      <c r="P37" s="4" t="s">
        <v>21</v>
      </c>
    </row>
    <row r="38" spans="1:16" ht="28.8" x14ac:dyDescent="0.3">
      <c r="A38" s="4">
        <v>236</v>
      </c>
      <c r="B38" s="4" t="s">
        <v>75</v>
      </c>
      <c r="C38" s="4">
        <v>46185.610455787042</v>
      </c>
      <c r="D38" s="4">
        <v>16</v>
      </c>
      <c r="E38" s="4" t="s">
        <v>22</v>
      </c>
      <c r="F38" s="4">
        <v>9.4</v>
      </c>
      <c r="G38" s="4" t="s">
        <v>37</v>
      </c>
      <c r="H38" s="4">
        <v>4.5999999999999996</v>
      </c>
      <c r="I38" s="4" t="s">
        <v>24</v>
      </c>
      <c r="J38" s="4"/>
      <c r="K38" s="4">
        <v>2.5</v>
      </c>
      <c r="L38" s="4">
        <v>2</v>
      </c>
      <c r="M38" s="4" t="s">
        <v>29</v>
      </c>
      <c r="N38" s="4" t="s">
        <v>45</v>
      </c>
      <c r="O38" s="4" t="s">
        <v>45</v>
      </c>
      <c r="P38" s="4" t="s">
        <v>21</v>
      </c>
    </row>
    <row r="39" spans="1:16" ht="28.8" x14ac:dyDescent="0.3">
      <c r="A39" s="4">
        <v>237</v>
      </c>
      <c r="B39" s="4" t="s">
        <v>75</v>
      </c>
      <c r="C39" s="4">
        <v>46185.610482083328</v>
      </c>
      <c r="D39" s="4">
        <v>19</v>
      </c>
      <c r="E39" s="4" t="s">
        <v>14</v>
      </c>
      <c r="F39" s="4">
        <v>7.4</v>
      </c>
      <c r="G39" s="4" t="s">
        <v>42</v>
      </c>
      <c r="H39" s="4">
        <v>12.4</v>
      </c>
      <c r="I39" s="4" t="s">
        <v>24</v>
      </c>
      <c r="J39" s="4"/>
      <c r="K39" s="4">
        <v>7.2</v>
      </c>
      <c r="L39" s="4">
        <v>1</v>
      </c>
      <c r="M39" s="4" t="s">
        <v>29</v>
      </c>
      <c r="N39" s="4" t="s">
        <v>25</v>
      </c>
      <c r="O39" s="4" t="s">
        <v>30</v>
      </c>
      <c r="P39" s="4" t="s">
        <v>21</v>
      </c>
    </row>
    <row r="40" spans="1:16" ht="28.8" x14ac:dyDescent="0.3">
      <c r="A40" s="4">
        <v>238</v>
      </c>
      <c r="B40" s="4" t="s">
        <v>75</v>
      </c>
      <c r="C40" s="4">
        <v>46185.610503634263</v>
      </c>
      <c r="D40" s="4">
        <v>34</v>
      </c>
      <c r="E40" s="4" t="s">
        <v>22</v>
      </c>
      <c r="F40" s="4">
        <v>3.3</v>
      </c>
      <c r="G40" s="4" t="s">
        <v>37</v>
      </c>
      <c r="H40" s="4">
        <v>9.5</v>
      </c>
      <c r="I40" s="4" t="s">
        <v>41</v>
      </c>
      <c r="J40" s="4"/>
      <c r="K40" s="4">
        <v>6.3</v>
      </c>
      <c r="L40" s="4">
        <v>8</v>
      </c>
      <c r="M40" s="4" t="s">
        <v>39</v>
      </c>
      <c r="N40" s="4" t="s">
        <v>25</v>
      </c>
      <c r="O40" s="4" t="s">
        <v>20</v>
      </c>
      <c r="P40" s="4" t="s">
        <v>21</v>
      </c>
    </row>
    <row r="41" spans="1:16" ht="28.8" x14ac:dyDescent="0.3">
      <c r="A41" s="4">
        <v>239</v>
      </c>
      <c r="B41" s="4" t="s">
        <v>75</v>
      </c>
      <c r="C41" s="4">
        <v>46185.610525069445</v>
      </c>
      <c r="D41" s="4">
        <v>28</v>
      </c>
      <c r="E41" s="4" t="s">
        <v>14</v>
      </c>
      <c r="F41" s="4">
        <v>9.4</v>
      </c>
      <c r="G41" s="4" t="s">
        <v>23</v>
      </c>
      <c r="H41" s="4">
        <v>10.6</v>
      </c>
      <c r="I41" s="4" t="s">
        <v>46</v>
      </c>
      <c r="J41" s="4"/>
      <c r="K41" s="4">
        <v>1.3</v>
      </c>
      <c r="L41" s="4">
        <v>1</v>
      </c>
      <c r="M41" s="4" t="s">
        <v>33</v>
      </c>
      <c r="N41" s="4" t="s">
        <v>45</v>
      </c>
      <c r="O41" s="4" t="s">
        <v>36</v>
      </c>
      <c r="P41" s="4" t="s">
        <v>21</v>
      </c>
    </row>
    <row r="42" spans="1:16" ht="28.8" x14ac:dyDescent="0.3">
      <c r="A42" s="4">
        <v>240</v>
      </c>
      <c r="B42" s="4" t="s">
        <v>75</v>
      </c>
      <c r="C42" s="4">
        <v>46185.610548425924</v>
      </c>
      <c r="D42" s="4">
        <v>20</v>
      </c>
      <c r="E42" s="4" t="s">
        <v>40</v>
      </c>
      <c r="F42" s="4">
        <v>5</v>
      </c>
      <c r="G42" s="4" t="s">
        <v>42</v>
      </c>
      <c r="H42" s="4">
        <v>12.6</v>
      </c>
      <c r="I42" s="4" t="s">
        <v>28</v>
      </c>
      <c r="J42" s="4"/>
      <c r="K42" s="4">
        <v>2.9</v>
      </c>
      <c r="L42" s="4">
        <v>4</v>
      </c>
      <c r="M42" s="4" t="s">
        <v>29</v>
      </c>
      <c r="N42" s="4" t="s">
        <v>30</v>
      </c>
      <c r="O42" s="4" t="s">
        <v>20</v>
      </c>
      <c r="P42" s="4" t="s">
        <v>21</v>
      </c>
    </row>
    <row r="43" spans="1:16" ht="28.8" x14ac:dyDescent="0.3">
      <c r="A43" s="4">
        <v>241</v>
      </c>
      <c r="B43" s="4" t="s">
        <v>75</v>
      </c>
      <c r="C43" s="4">
        <v>46185.610567638891</v>
      </c>
      <c r="D43" s="4">
        <v>19</v>
      </c>
      <c r="E43" s="4" t="s">
        <v>14</v>
      </c>
      <c r="F43" s="4">
        <v>9.1</v>
      </c>
      <c r="G43" s="4" t="s">
        <v>44</v>
      </c>
      <c r="H43" s="4">
        <v>6.1</v>
      </c>
      <c r="I43" s="4" t="s">
        <v>46</v>
      </c>
      <c r="J43" s="4"/>
      <c r="K43" s="4">
        <v>5.4</v>
      </c>
      <c r="L43" s="4">
        <v>4</v>
      </c>
      <c r="M43" s="4" t="s">
        <v>39</v>
      </c>
      <c r="N43" s="4" t="s">
        <v>30</v>
      </c>
      <c r="O43" s="4" t="s">
        <v>36</v>
      </c>
      <c r="P43" s="4" t="s">
        <v>21</v>
      </c>
    </row>
    <row r="44" spans="1:16" ht="28.8" x14ac:dyDescent="0.3">
      <c r="A44" s="4">
        <v>242</v>
      </c>
      <c r="B44" s="4" t="s">
        <v>75</v>
      </c>
      <c r="C44" s="4">
        <v>46185.610586412033</v>
      </c>
      <c r="D44" s="4">
        <v>32</v>
      </c>
      <c r="E44" s="4" t="s">
        <v>14</v>
      </c>
      <c r="F44" s="4">
        <v>6.4</v>
      </c>
      <c r="G44" s="4" t="s">
        <v>44</v>
      </c>
      <c r="H44" s="4">
        <v>12</v>
      </c>
      <c r="I44" s="4" t="s">
        <v>47</v>
      </c>
      <c r="J44" s="4"/>
      <c r="K44" s="4">
        <v>2</v>
      </c>
      <c r="L44" s="4">
        <v>8</v>
      </c>
      <c r="M44" s="4" t="s">
        <v>39</v>
      </c>
      <c r="N44" s="4" t="s">
        <v>19</v>
      </c>
      <c r="O44" s="4" t="s">
        <v>20</v>
      </c>
      <c r="P44" s="4" t="s">
        <v>21</v>
      </c>
    </row>
    <row r="45" spans="1:16" ht="28.8" x14ac:dyDescent="0.3">
      <c r="A45" s="4">
        <v>243</v>
      </c>
      <c r="B45" s="4" t="s">
        <v>75</v>
      </c>
      <c r="C45" s="4">
        <v>46185.610609351847</v>
      </c>
      <c r="D45" s="4">
        <v>19</v>
      </c>
      <c r="E45" s="4" t="s">
        <v>40</v>
      </c>
      <c r="F45" s="4">
        <v>3</v>
      </c>
      <c r="G45" s="4" t="s">
        <v>27</v>
      </c>
      <c r="H45" s="4">
        <v>8.1999999999999993</v>
      </c>
      <c r="I45" s="4" t="s">
        <v>41</v>
      </c>
      <c r="J45" s="4"/>
      <c r="K45" s="4">
        <v>6.4</v>
      </c>
      <c r="L45" s="4">
        <v>2</v>
      </c>
      <c r="M45" s="4" t="s">
        <v>29</v>
      </c>
      <c r="N45" s="4" t="s">
        <v>25</v>
      </c>
      <c r="O45" s="4" t="s">
        <v>20</v>
      </c>
      <c r="P45" s="4" t="s">
        <v>21</v>
      </c>
    </row>
    <row r="46" spans="1:16" ht="28.8" x14ac:dyDescent="0.3">
      <c r="A46" s="4">
        <v>244</v>
      </c>
      <c r="B46" s="4" t="s">
        <v>75</v>
      </c>
      <c r="C46" s="4">
        <v>46185.610630092589</v>
      </c>
      <c r="D46" s="4">
        <v>22</v>
      </c>
      <c r="E46" s="4" t="s">
        <v>40</v>
      </c>
      <c r="F46" s="4">
        <v>2.6</v>
      </c>
      <c r="G46" s="4" t="s">
        <v>34</v>
      </c>
      <c r="H46" s="4">
        <v>13.1</v>
      </c>
      <c r="I46" s="4" t="s">
        <v>35</v>
      </c>
      <c r="J46" s="4"/>
      <c r="K46" s="4">
        <v>2.2999999999999998</v>
      </c>
      <c r="L46" s="4">
        <v>4</v>
      </c>
      <c r="M46" s="4" t="s">
        <v>29</v>
      </c>
      <c r="N46" s="4" t="s">
        <v>30</v>
      </c>
      <c r="O46" s="4" t="s">
        <v>20</v>
      </c>
      <c r="P46" s="4" t="s">
        <v>21</v>
      </c>
    </row>
    <row r="47" spans="1:16" ht="28.8" x14ac:dyDescent="0.3">
      <c r="A47" s="4">
        <v>245</v>
      </c>
      <c r="B47" s="4" t="s">
        <v>75</v>
      </c>
      <c r="C47" s="4">
        <v>46185.610656631943</v>
      </c>
      <c r="D47" s="4">
        <v>23</v>
      </c>
      <c r="E47" s="4" t="s">
        <v>22</v>
      </c>
      <c r="F47" s="4">
        <v>6.3</v>
      </c>
      <c r="G47" s="4" t="s">
        <v>34</v>
      </c>
      <c r="H47" s="4">
        <v>9.3000000000000007</v>
      </c>
      <c r="I47" s="4" t="s">
        <v>32</v>
      </c>
      <c r="J47" s="4"/>
      <c r="K47" s="4">
        <v>2</v>
      </c>
      <c r="L47" s="4">
        <v>9</v>
      </c>
      <c r="M47" s="4" t="s">
        <v>33</v>
      </c>
      <c r="N47" s="4" t="s">
        <v>25</v>
      </c>
      <c r="O47" s="4" t="s">
        <v>20</v>
      </c>
      <c r="P47" s="4" t="s">
        <v>21</v>
      </c>
    </row>
    <row r="48" spans="1:16" ht="28.8" x14ac:dyDescent="0.3">
      <c r="A48" s="4">
        <v>246</v>
      </c>
      <c r="B48" s="4" t="s">
        <v>75</v>
      </c>
      <c r="C48" s="4">
        <v>46185.61067819444</v>
      </c>
      <c r="D48" s="4">
        <v>30</v>
      </c>
      <c r="E48" s="4" t="s">
        <v>40</v>
      </c>
      <c r="F48" s="4">
        <v>7.9</v>
      </c>
      <c r="G48" s="4" t="s">
        <v>34</v>
      </c>
      <c r="H48" s="4">
        <v>10.5</v>
      </c>
      <c r="I48" s="4" t="s">
        <v>47</v>
      </c>
      <c r="J48" s="4"/>
      <c r="K48" s="4">
        <v>7.1</v>
      </c>
      <c r="L48" s="4">
        <v>2</v>
      </c>
      <c r="M48" s="4" t="s">
        <v>33</v>
      </c>
      <c r="N48" s="4" t="s">
        <v>30</v>
      </c>
      <c r="O48" s="4" t="s">
        <v>36</v>
      </c>
      <c r="P48" s="4" t="s">
        <v>21</v>
      </c>
    </row>
    <row r="49" spans="1:16" ht="28.8" x14ac:dyDescent="0.3">
      <c r="A49" s="4">
        <v>247</v>
      </c>
      <c r="B49" s="4" t="s">
        <v>75</v>
      </c>
      <c r="C49" s="4">
        <v>46185.610699606477</v>
      </c>
      <c r="D49" s="4">
        <v>28</v>
      </c>
      <c r="E49" s="4" t="s">
        <v>40</v>
      </c>
      <c r="F49" s="4">
        <v>7.2</v>
      </c>
      <c r="G49" s="4" t="s">
        <v>15</v>
      </c>
      <c r="H49" s="4">
        <v>5.5</v>
      </c>
      <c r="I49" s="4" t="s">
        <v>46</v>
      </c>
      <c r="J49" s="4"/>
      <c r="K49" s="4">
        <v>5.0999999999999996</v>
      </c>
      <c r="L49" s="4">
        <v>3</v>
      </c>
      <c r="M49" s="4" t="s">
        <v>39</v>
      </c>
      <c r="N49" s="4" t="s">
        <v>19</v>
      </c>
      <c r="O49" s="4" t="s">
        <v>30</v>
      </c>
      <c r="P49" s="4" t="s">
        <v>21</v>
      </c>
    </row>
    <row r="50" spans="1:16" ht="28.8" x14ac:dyDescent="0.3">
      <c r="A50" s="4">
        <v>248</v>
      </c>
      <c r="B50" s="4" t="s">
        <v>75</v>
      </c>
      <c r="C50" s="4">
        <v>46185.610723761572</v>
      </c>
      <c r="D50" s="4">
        <v>31</v>
      </c>
      <c r="E50" s="4" t="s">
        <v>22</v>
      </c>
      <c r="F50" s="4">
        <v>7.6</v>
      </c>
      <c r="G50" s="4" t="s">
        <v>27</v>
      </c>
      <c r="H50" s="4">
        <v>9.8000000000000007</v>
      </c>
      <c r="I50" s="4" t="s">
        <v>41</v>
      </c>
      <c r="J50" s="4"/>
      <c r="K50" s="4">
        <v>4.5</v>
      </c>
      <c r="L50" s="4">
        <v>3</v>
      </c>
      <c r="M50" s="4" t="s">
        <v>29</v>
      </c>
      <c r="N50" s="4" t="s">
        <v>25</v>
      </c>
      <c r="O50" s="4" t="s">
        <v>20</v>
      </c>
      <c r="P50" s="4" t="s">
        <v>21</v>
      </c>
    </row>
    <row r="51" spans="1:16" ht="28.8" x14ac:dyDescent="0.3">
      <c r="A51" s="4">
        <v>249</v>
      </c>
      <c r="B51" s="4" t="s">
        <v>75</v>
      </c>
      <c r="C51" s="4">
        <v>46185.610748981482</v>
      </c>
      <c r="D51" s="4">
        <v>34</v>
      </c>
      <c r="E51" s="4" t="s">
        <v>40</v>
      </c>
      <c r="F51" s="4">
        <v>5</v>
      </c>
      <c r="G51" s="4" t="s">
        <v>42</v>
      </c>
      <c r="H51" s="4">
        <v>13.9</v>
      </c>
      <c r="I51" s="4" t="s">
        <v>32</v>
      </c>
      <c r="J51" s="4"/>
      <c r="K51" s="4">
        <v>4.4000000000000004</v>
      </c>
      <c r="L51" s="4">
        <v>7</v>
      </c>
      <c r="M51" s="4" t="s">
        <v>39</v>
      </c>
      <c r="N51" s="4" t="s">
        <v>45</v>
      </c>
      <c r="O51" s="4" t="s">
        <v>36</v>
      </c>
      <c r="P51" s="4" t="s">
        <v>21</v>
      </c>
    </row>
    <row r="52" spans="1:16" ht="28.8" x14ac:dyDescent="0.3">
      <c r="A52" s="4">
        <v>250</v>
      </c>
      <c r="B52" s="4" t="s">
        <v>75</v>
      </c>
      <c r="C52" s="4">
        <v>46185.610773622684</v>
      </c>
      <c r="D52" s="4">
        <v>35</v>
      </c>
      <c r="E52" s="4" t="s">
        <v>14</v>
      </c>
      <c r="F52" s="4">
        <v>2.9</v>
      </c>
      <c r="G52" s="4" t="s">
        <v>23</v>
      </c>
      <c r="H52" s="4">
        <v>12.3</v>
      </c>
      <c r="I52" s="4" t="s">
        <v>16</v>
      </c>
      <c r="J52" s="4" t="s">
        <v>76</v>
      </c>
      <c r="K52" s="4">
        <v>5.0999999999999996</v>
      </c>
      <c r="L52" s="4">
        <v>7</v>
      </c>
      <c r="M52" s="4" t="s">
        <v>39</v>
      </c>
      <c r="N52" s="4" t="s">
        <v>30</v>
      </c>
      <c r="O52" s="4" t="s">
        <v>30</v>
      </c>
      <c r="P52" s="4" t="s">
        <v>21</v>
      </c>
    </row>
    <row r="53" spans="1:16" ht="28.8" x14ac:dyDescent="0.3">
      <c r="A53" s="4">
        <v>251</v>
      </c>
      <c r="B53" s="4" t="s">
        <v>75</v>
      </c>
      <c r="C53" s="4">
        <v>46185.610800254624</v>
      </c>
      <c r="D53" s="4">
        <v>28</v>
      </c>
      <c r="E53" s="4" t="s">
        <v>14</v>
      </c>
      <c r="F53" s="4">
        <v>4.8</v>
      </c>
      <c r="G53" s="4" t="s">
        <v>34</v>
      </c>
      <c r="H53" s="4">
        <v>9.5</v>
      </c>
      <c r="I53" s="4" t="s">
        <v>24</v>
      </c>
      <c r="J53" s="4"/>
      <c r="K53" s="4">
        <v>4.7</v>
      </c>
      <c r="L53" s="4">
        <v>10</v>
      </c>
      <c r="M53" s="4" t="s">
        <v>33</v>
      </c>
      <c r="N53" s="4" t="s">
        <v>19</v>
      </c>
      <c r="O53" s="4" t="s">
        <v>36</v>
      </c>
      <c r="P53" s="4" t="s">
        <v>21</v>
      </c>
    </row>
    <row r="54" spans="1:16" ht="28.8" x14ac:dyDescent="0.3">
      <c r="A54" s="4">
        <v>252</v>
      </c>
      <c r="B54" s="4" t="s">
        <v>75</v>
      </c>
      <c r="C54" s="4">
        <v>46185.610828032412</v>
      </c>
      <c r="D54" s="4">
        <v>20</v>
      </c>
      <c r="E54" s="4" t="s">
        <v>22</v>
      </c>
      <c r="F54" s="4">
        <v>5</v>
      </c>
      <c r="G54" s="4" t="s">
        <v>34</v>
      </c>
      <c r="H54" s="4">
        <v>10.199999999999999</v>
      </c>
      <c r="I54" s="4" t="s">
        <v>38</v>
      </c>
      <c r="J54" s="4"/>
      <c r="K54" s="4">
        <v>7.9</v>
      </c>
      <c r="L54" s="4">
        <v>6</v>
      </c>
      <c r="M54" s="4" t="s">
        <v>33</v>
      </c>
      <c r="N54" s="4" t="s">
        <v>25</v>
      </c>
      <c r="O54" s="4" t="s">
        <v>36</v>
      </c>
      <c r="P54" s="4" t="s">
        <v>21</v>
      </c>
    </row>
    <row r="55" spans="1:16" ht="28.8" x14ac:dyDescent="0.3">
      <c r="A55" s="4">
        <v>253</v>
      </c>
      <c r="B55" s="4" t="s">
        <v>75</v>
      </c>
      <c r="C55" s="4">
        <v>46185.61085592593</v>
      </c>
      <c r="D55" s="4">
        <v>22</v>
      </c>
      <c r="E55" s="4" t="s">
        <v>14</v>
      </c>
      <c r="F55" s="4">
        <v>8.6999999999999993</v>
      </c>
      <c r="G55" s="4" t="s">
        <v>37</v>
      </c>
      <c r="H55" s="4">
        <v>4.4000000000000004</v>
      </c>
      <c r="I55" s="4" t="s">
        <v>16</v>
      </c>
      <c r="J55" s="4" t="s">
        <v>76</v>
      </c>
      <c r="K55" s="4">
        <v>7.6</v>
      </c>
      <c r="L55" s="4">
        <v>6</v>
      </c>
      <c r="M55" s="4" t="s">
        <v>29</v>
      </c>
      <c r="N55" s="4" t="s">
        <v>25</v>
      </c>
      <c r="O55" s="4" t="s">
        <v>45</v>
      </c>
      <c r="P55" s="4" t="s">
        <v>21</v>
      </c>
    </row>
    <row r="56" spans="1:16" ht="28.8" x14ac:dyDescent="0.3">
      <c r="A56" s="4">
        <v>254</v>
      </c>
      <c r="B56" s="4" t="s">
        <v>75</v>
      </c>
      <c r="C56" s="4">
        <v>46185.610883518515</v>
      </c>
      <c r="D56" s="4">
        <v>25</v>
      </c>
      <c r="E56" s="4" t="s">
        <v>14</v>
      </c>
      <c r="F56" s="4">
        <v>2.5</v>
      </c>
      <c r="G56" s="4" t="s">
        <v>27</v>
      </c>
      <c r="H56" s="4">
        <v>12.2</v>
      </c>
      <c r="I56" s="4" t="s">
        <v>28</v>
      </c>
      <c r="J56" s="4"/>
      <c r="K56" s="4">
        <v>4.4000000000000004</v>
      </c>
      <c r="L56" s="4">
        <v>7</v>
      </c>
      <c r="M56" s="4" t="s">
        <v>29</v>
      </c>
      <c r="N56" s="4" t="s">
        <v>30</v>
      </c>
      <c r="O56" s="4" t="s">
        <v>36</v>
      </c>
      <c r="P56" s="4" t="s">
        <v>21</v>
      </c>
    </row>
    <row r="57" spans="1:16" ht="28.8" x14ac:dyDescent="0.3">
      <c r="A57" s="4">
        <v>255</v>
      </c>
      <c r="B57" s="4" t="s">
        <v>75</v>
      </c>
      <c r="C57" s="4">
        <v>46185.610910682866</v>
      </c>
      <c r="D57" s="4">
        <v>29</v>
      </c>
      <c r="E57" s="4" t="s">
        <v>40</v>
      </c>
      <c r="F57" s="4">
        <v>7.3</v>
      </c>
      <c r="G57" s="4" t="s">
        <v>23</v>
      </c>
      <c r="H57" s="4">
        <v>4.7</v>
      </c>
      <c r="I57" s="4" t="s">
        <v>41</v>
      </c>
      <c r="J57" s="4"/>
      <c r="K57" s="4">
        <v>4.4000000000000004</v>
      </c>
      <c r="L57" s="4">
        <v>10</v>
      </c>
      <c r="M57" s="4" t="s">
        <v>18</v>
      </c>
      <c r="N57" s="4" t="s">
        <v>45</v>
      </c>
      <c r="O57" s="4" t="s">
        <v>36</v>
      </c>
      <c r="P57" s="4" t="s">
        <v>21</v>
      </c>
    </row>
    <row r="58" spans="1:16" ht="28.8" x14ac:dyDescent="0.3">
      <c r="A58" s="4">
        <v>256</v>
      </c>
      <c r="B58" s="4" t="s">
        <v>75</v>
      </c>
      <c r="C58" s="4">
        <v>46185.610932488431</v>
      </c>
      <c r="D58" s="4">
        <v>25</v>
      </c>
      <c r="E58" s="4" t="s">
        <v>14</v>
      </c>
      <c r="F58" s="4">
        <v>3</v>
      </c>
      <c r="G58" s="4" t="s">
        <v>15</v>
      </c>
      <c r="H58" s="4">
        <v>13.8</v>
      </c>
      <c r="I58" s="4" t="s">
        <v>46</v>
      </c>
      <c r="J58" s="4"/>
      <c r="K58" s="4">
        <v>7.1</v>
      </c>
      <c r="L58" s="4">
        <v>1</v>
      </c>
      <c r="M58" s="4" t="s">
        <v>29</v>
      </c>
      <c r="N58" s="4" t="s">
        <v>25</v>
      </c>
      <c r="O58" s="4" t="s">
        <v>36</v>
      </c>
      <c r="P58" s="4" t="s">
        <v>21</v>
      </c>
    </row>
    <row r="59" spans="1:16" ht="28.8" x14ac:dyDescent="0.3">
      <c r="A59" s="4">
        <v>257</v>
      </c>
      <c r="B59" s="4" t="s">
        <v>75</v>
      </c>
      <c r="C59" s="4">
        <v>46185.610961134254</v>
      </c>
      <c r="D59" s="4">
        <v>27</v>
      </c>
      <c r="E59" s="4" t="s">
        <v>22</v>
      </c>
      <c r="F59" s="4">
        <v>4.9000000000000004</v>
      </c>
      <c r="G59" s="4" t="s">
        <v>27</v>
      </c>
      <c r="H59" s="4">
        <v>5.5</v>
      </c>
      <c r="I59" s="4" t="s">
        <v>32</v>
      </c>
      <c r="J59" s="4"/>
      <c r="K59" s="4">
        <v>8</v>
      </c>
      <c r="L59" s="4">
        <v>5</v>
      </c>
      <c r="M59" s="4" t="s">
        <v>29</v>
      </c>
      <c r="N59" s="4" t="s">
        <v>19</v>
      </c>
      <c r="O59" s="4" t="s">
        <v>30</v>
      </c>
      <c r="P59" s="4" t="s">
        <v>21</v>
      </c>
    </row>
    <row r="60" spans="1:16" ht="28.8" x14ac:dyDescent="0.3">
      <c r="A60" s="4">
        <v>258</v>
      </c>
      <c r="B60" s="4" t="s">
        <v>75</v>
      </c>
      <c r="C60" s="4">
        <v>46185.610976215277</v>
      </c>
      <c r="D60" s="4">
        <v>28</v>
      </c>
      <c r="E60" s="4" t="s">
        <v>14</v>
      </c>
      <c r="F60" s="4">
        <v>8.5</v>
      </c>
      <c r="G60" s="4" t="s">
        <v>27</v>
      </c>
      <c r="H60" s="4">
        <v>6.3</v>
      </c>
      <c r="I60" s="4" t="s">
        <v>41</v>
      </c>
      <c r="J60" s="4"/>
      <c r="K60" s="4">
        <v>6</v>
      </c>
      <c r="L60" s="4">
        <v>1</v>
      </c>
      <c r="M60" s="4" t="s">
        <v>39</v>
      </c>
      <c r="N60" s="4" t="s">
        <v>19</v>
      </c>
      <c r="O60" s="4" t="s">
        <v>30</v>
      </c>
      <c r="P60" s="4" t="s">
        <v>21</v>
      </c>
    </row>
    <row r="61" spans="1:16" ht="28.8" x14ac:dyDescent="0.3">
      <c r="A61" s="4">
        <v>259</v>
      </c>
      <c r="B61" s="4" t="s">
        <v>75</v>
      </c>
      <c r="C61" s="4">
        <v>46185.611004097227</v>
      </c>
      <c r="D61" s="4">
        <v>21</v>
      </c>
      <c r="E61" s="4" t="s">
        <v>40</v>
      </c>
      <c r="F61" s="4">
        <v>3.3</v>
      </c>
      <c r="G61" s="4" t="s">
        <v>34</v>
      </c>
      <c r="H61" s="4">
        <v>8</v>
      </c>
      <c r="I61" s="4" t="s">
        <v>41</v>
      </c>
      <c r="J61" s="4"/>
      <c r="K61" s="4">
        <v>4</v>
      </c>
      <c r="L61" s="4">
        <v>6</v>
      </c>
      <c r="M61" s="4" t="s">
        <v>33</v>
      </c>
      <c r="N61" s="4" t="s">
        <v>45</v>
      </c>
      <c r="O61" s="4" t="s">
        <v>20</v>
      </c>
      <c r="P61" s="4" t="s">
        <v>21</v>
      </c>
    </row>
    <row r="62" spans="1:16" ht="28.8" x14ac:dyDescent="0.3">
      <c r="A62" s="4">
        <v>260</v>
      </c>
      <c r="B62" s="4" t="s">
        <v>75</v>
      </c>
      <c r="C62" s="4">
        <v>46185.611023668986</v>
      </c>
      <c r="D62" s="4">
        <v>20</v>
      </c>
      <c r="E62" s="4" t="s">
        <v>14</v>
      </c>
      <c r="F62" s="4">
        <v>4.5999999999999996</v>
      </c>
      <c r="G62" s="4" t="s">
        <v>27</v>
      </c>
      <c r="H62" s="4">
        <v>6.8</v>
      </c>
      <c r="I62" s="4" t="s">
        <v>28</v>
      </c>
      <c r="J62" s="4"/>
      <c r="K62" s="4">
        <v>7.3</v>
      </c>
      <c r="L62" s="4">
        <v>10</v>
      </c>
      <c r="M62" s="4" t="s">
        <v>33</v>
      </c>
      <c r="N62" s="4" t="s">
        <v>30</v>
      </c>
      <c r="O62" s="4" t="s">
        <v>45</v>
      </c>
      <c r="P62" s="4" t="s">
        <v>21</v>
      </c>
    </row>
    <row r="63" spans="1:16" ht="28.8" x14ac:dyDescent="0.3">
      <c r="A63" s="4">
        <v>261</v>
      </c>
      <c r="B63" s="4" t="s">
        <v>75</v>
      </c>
      <c r="C63" s="4">
        <v>46185.611053148154</v>
      </c>
      <c r="D63" s="4">
        <v>30</v>
      </c>
      <c r="E63" s="4" t="s">
        <v>40</v>
      </c>
      <c r="F63" s="4">
        <v>6.7</v>
      </c>
      <c r="G63" s="4" t="s">
        <v>34</v>
      </c>
      <c r="H63" s="4">
        <v>7.1</v>
      </c>
      <c r="I63" s="4" t="s">
        <v>47</v>
      </c>
      <c r="J63" s="4"/>
      <c r="K63" s="4">
        <v>4.2</v>
      </c>
      <c r="L63" s="4">
        <v>7</v>
      </c>
      <c r="M63" s="4" t="s">
        <v>29</v>
      </c>
      <c r="N63" s="4" t="s">
        <v>30</v>
      </c>
      <c r="O63" s="4" t="s">
        <v>20</v>
      </c>
      <c r="P63" s="4" t="s">
        <v>21</v>
      </c>
    </row>
    <row r="64" spans="1:16" ht="28.8" x14ac:dyDescent="0.3">
      <c r="A64" s="4">
        <v>262</v>
      </c>
      <c r="B64" s="4" t="s">
        <v>75</v>
      </c>
      <c r="C64" s="4">
        <v>46185.611078784721</v>
      </c>
      <c r="D64" s="4">
        <v>29</v>
      </c>
      <c r="E64" s="4" t="s">
        <v>14</v>
      </c>
      <c r="F64" s="4">
        <v>8</v>
      </c>
      <c r="G64" s="4" t="s">
        <v>27</v>
      </c>
      <c r="H64" s="4">
        <v>5.9</v>
      </c>
      <c r="I64" s="4" t="s">
        <v>28</v>
      </c>
      <c r="J64" s="4"/>
      <c r="K64" s="4">
        <v>4.7</v>
      </c>
      <c r="L64" s="4">
        <v>3</v>
      </c>
      <c r="M64" s="4" t="s">
        <v>33</v>
      </c>
      <c r="N64" s="4" t="s">
        <v>45</v>
      </c>
      <c r="O64" s="4" t="s">
        <v>20</v>
      </c>
      <c r="P64" s="4" t="s">
        <v>21</v>
      </c>
    </row>
    <row r="65" spans="1:16" ht="28.8" x14ac:dyDescent="0.3">
      <c r="A65" s="4">
        <v>263</v>
      </c>
      <c r="B65" s="4" t="s">
        <v>75</v>
      </c>
      <c r="C65" s="4">
        <v>46185.611096759254</v>
      </c>
      <c r="D65" s="4">
        <v>25</v>
      </c>
      <c r="E65" s="4" t="s">
        <v>14</v>
      </c>
      <c r="F65" s="4">
        <v>4.8</v>
      </c>
      <c r="G65" s="4" t="s">
        <v>27</v>
      </c>
      <c r="H65" s="4">
        <v>5.9</v>
      </c>
      <c r="I65" s="4" t="s">
        <v>46</v>
      </c>
      <c r="J65" s="4"/>
      <c r="K65" s="4">
        <v>5.5</v>
      </c>
      <c r="L65" s="4">
        <v>10</v>
      </c>
      <c r="M65" s="4" t="s">
        <v>39</v>
      </c>
      <c r="N65" s="4" t="s">
        <v>30</v>
      </c>
      <c r="O65" s="4" t="s">
        <v>36</v>
      </c>
      <c r="P65" s="4" t="s">
        <v>21</v>
      </c>
    </row>
    <row r="66" spans="1:16" ht="28.8" x14ac:dyDescent="0.3">
      <c r="A66" s="4">
        <v>264</v>
      </c>
      <c r="B66" s="4" t="s">
        <v>75</v>
      </c>
      <c r="C66" s="4">
        <v>46185.611121851849</v>
      </c>
      <c r="D66" s="4">
        <v>22</v>
      </c>
      <c r="E66" s="4" t="s">
        <v>22</v>
      </c>
      <c r="F66" s="4">
        <v>4.5999999999999996</v>
      </c>
      <c r="G66" s="4" t="s">
        <v>15</v>
      </c>
      <c r="H66" s="4">
        <v>9.3000000000000007</v>
      </c>
      <c r="I66" s="4" t="s">
        <v>38</v>
      </c>
      <c r="J66" s="4"/>
      <c r="K66" s="4">
        <v>1.1000000000000001</v>
      </c>
      <c r="L66" s="4">
        <v>4</v>
      </c>
      <c r="M66" s="4" t="s">
        <v>18</v>
      </c>
      <c r="N66" s="4" t="s">
        <v>30</v>
      </c>
      <c r="O66" s="4" t="s">
        <v>45</v>
      </c>
      <c r="P66" s="4" t="s">
        <v>21</v>
      </c>
    </row>
    <row r="67" spans="1:16" ht="28.8" x14ac:dyDescent="0.3">
      <c r="A67" s="4">
        <v>265</v>
      </c>
      <c r="B67" s="4" t="s">
        <v>75</v>
      </c>
      <c r="C67" s="4">
        <v>46185.6111403588</v>
      </c>
      <c r="D67" s="4">
        <v>33</v>
      </c>
      <c r="E67" s="4" t="s">
        <v>40</v>
      </c>
      <c r="F67" s="4">
        <v>5.7</v>
      </c>
      <c r="G67" s="4" t="s">
        <v>23</v>
      </c>
      <c r="H67" s="4">
        <v>5</v>
      </c>
      <c r="I67" s="4" t="s">
        <v>24</v>
      </c>
      <c r="J67" s="4"/>
      <c r="K67" s="4">
        <v>3.2</v>
      </c>
      <c r="L67" s="4">
        <v>8</v>
      </c>
      <c r="M67" s="4" t="s">
        <v>33</v>
      </c>
      <c r="N67" s="4" t="s">
        <v>45</v>
      </c>
      <c r="O67" s="4" t="s">
        <v>36</v>
      </c>
      <c r="P67" s="4" t="s">
        <v>21</v>
      </c>
    </row>
    <row r="68" spans="1:16" ht="28.8" x14ac:dyDescent="0.3">
      <c r="A68" s="4">
        <v>266</v>
      </c>
      <c r="B68" s="4" t="s">
        <v>75</v>
      </c>
      <c r="C68" s="4">
        <v>46185.611163067129</v>
      </c>
      <c r="D68" s="4">
        <v>17</v>
      </c>
      <c r="E68" s="4" t="s">
        <v>40</v>
      </c>
      <c r="F68" s="4">
        <v>2.5</v>
      </c>
      <c r="G68" s="4" t="s">
        <v>15</v>
      </c>
      <c r="H68" s="4">
        <v>7.5</v>
      </c>
      <c r="I68" s="4" t="s">
        <v>47</v>
      </c>
      <c r="J68" s="4"/>
      <c r="K68" s="4">
        <v>4.5999999999999996</v>
      </c>
      <c r="L68" s="4">
        <v>10</v>
      </c>
      <c r="M68" s="4" t="s">
        <v>39</v>
      </c>
      <c r="N68" s="4" t="s">
        <v>45</v>
      </c>
      <c r="O68" s="4" t="s">
        <v>45</v>
      </c>
      <c r="P68" s="4" t="s">
        <v>21</v>
      </c>
    </row>
    <row r="69" spans="1:16" ht="28.8" x14ac:dyDescent="0.3">
      <c r="A69" s="4">
        <v>267</v>
      </c>
      <c r="B69" s="4" t="s">
        <v>75</v>
      </c>
      <c r="C69" s="4">
        <v>46185.611184710651</v>
      </c>
      <c r="D69" s="4">
        <v>30</v>
      </c>
      <c r="E69" s="4" t="s">
        <v>14</v>
      </c>
      <c r="F69" s="4">
        <v>9.9</v>
      </c>
      <c r="G69" s="4" t="s">
        <v>37</v>
      </c>
      <c r="H69" s="4">
        <v>8.5</v>
      </c>
      <c r="I69" s="4" t="s">
        <v>43</v>
      </c>
      <c r="J69" s="4"/>
      <c r="K69" s="4">
        <v>5.5</v>
      </c>
      <c r="L69" s="4">
        <v>4</v>
      </c>
      <c r="M69" s="4" t="s">
        <v>33</v>
      </c>
      <c r="N69" s="4" t="s">
        <v>30</v>
      </c>
      <c r="O69" s="4" t="s">
        <v>36</v>
      </c>
      <c r="P69" s="4" t="s">
        <v>21</v>
      </c>
    </row>
    <row r="70" spans="1:16" ht="28.8" x14ac:dyDescent="0.3">
      <c r="A70" s="4">
        <v>268</v>
      </c>
      <c r="B70" s="4" t="s">
        <v>75</v>
      </c>
      <c r="C70" s="4">
        <v>46185.611211516203</v>
      </c>
      <c r="D70" s="4">
        <v>24</v>
      </c>
      <c r="E70" s="4" t="s">
        <v>14</v>
      </c>
      <c r="F70" s="4">
        <v>5.9</v>
      </c>
      <c r="G70" s="4" t="s">
        <v>44</v>
      </c>
      <c r="H70" s="4">
        <v>4.0999999999999996</v>
      </c>
      <c r="I70" s="4" t="s">
        <v>32</v>
      </c>
      <c r="J70" s="4"/>
      <c r="K70" s="4">
        <v>5.7</v>
      </c>
      <c r="L70" s="4">
        <v>4</v>
      </c>
      <c r="M70" s="4" t="s">
        <v>39</v>
      </c>
      <c r="N70" s="4" t="s">
        <v>19</v>
      </c>
      <c r="O70" s="4" t="s">
        <v>36</v>
      </c>
      <c r="P70" s="4" t="s">
        <v>21</v>
      </c>
    </row>
    <row r="71" spans="1:16" ht="28.8" x14ac:dyDescent="0.3">
      <c r="A71" s="4">
        <v>269</v>
      </c>
      <c r="B71" s="4" t="s">
        <v>75</v>
      </c>
      <c r="C71" s="4">
        <v>46185.611229363421</v>
      </c>
      <c r="D71" s="4">
        <v>18</v>
      </c>
      <c r="E71" s="4" t="s">
        <v>22</v>
      </c>
      <c r="F71" s="4">
        <v>6.7</v>
      </c>
      <c r="G71" s="4" t="s">
        <v>44</v>
      </c>
      <c r="H71" s="4">
        <v>8.6999999999999993</v>
      </c>
      <c r="I71" s="4" t="s">
        <v>24</v>
      </c>
      <c r="J71" s="4"/>
      <c r="K71" s="4">
        <v>7.9</v>
      </c>
      <c r="L71" s="4">
        <v>7</v>
      </c>
      <c r="M71" s="4" t="s">
        <v>33</v>
      </c>
      <c r="N71" s="4" t="s">
        <v>30</v>
      </c>
      <c r="O71" s="4" t="s">
        <v>20</v>
      </c>
      <c r="P71" s="4" t="s">
        <v>21</v>
      </c>
    </row>
    <row r="72" spans="1:16" ht="28.8" x14ac:dyDescent="0.3">
      <c r="A72" s="4">
        <v>270</v>
      </c>
      <c r="B72" s="4" t="s">
        <v>75</v>
      </c>
      <c r="C72" s="4">
        <v>46185.611249502312</v>
      </c>
      <c r="D72" s="4">
        <v>22</v>
      </c>
      <c r="E72" s="4" t="s">
        <v>22</v>
      </c>
      <c r="F72" s="4">
        <v>9.3000000000000007</v>
      </c>
      <c r="G72" s="4" t="s">
        <v>37</v>
      </c>
      <c r="H72" s="4">
        <v>6</v>
      </c>
      <c r="I72" s="4" t="s">
        <v>43</v>
      </c>
      <c r="J72" s="4"/>
      <c r="K72" s="4">
        <v>1.9</v>
      </c>
      <c r="L72" s="4">
        <v>3</v>
      </c>
      <c r="M72" s="4" t="s">
        <v>18</v>
      </c>
      <c r="N72" s="4" t="s">
        <v>25</v>
      </c>
      <c r="O72" s="4" t="s">
        <v>30</v>
      </c>
      <c r="P72" s="4" t="s">
        <v>21</v>
      </c>
    </row>
    <row r="73" spans="1:16" ht="28.8" x14ac:dyDescent="0.3">
      <c r="A73" s="4">
        <v>271</v>
      </c>
      <c r="B73" s="4" t="s">
        <v>75</v>
      </c>
      <c r="C73" s="4">
        <v>46185.611277673612</v>
      </c>
      <c r="D73" s="4">
        <v>18</v>
      </c>
      <c r="E73" s="4" t="s">
        <v>14</v>
      </c>
      <c r="F73" s="4">
        <v>9.1</v>
      </c>
      <c r="G73" s="4" t="s">
        <v>44</v>
      </c>
      <c r="H73" s="4">
        <v>6.4</v>
      </c>
      <c r="I73" s="4" t="s">
        <v>46</v>
      </c>
      <c r="J73" s="4"/>
      <c r="K73" s="4">
        <v>7.9</v>
      </c>
      <c r="L73" s="4">
        <v>6</v>
      </c>
      <c r="M73" s="4" t="s">
        <v>33</v>
      </c>
      <c r="N73" s="4" t="s">
        <v>30</v>
      </c>
      <c r="O73" s="4" t="s">
        <v>36</v>
      </c>
      <c r="P73" s="4" t="s">
        <v>21</v>
      </c>
    </row>
    <row r="74" spans="1:16" ht="28.8" x14ac:dyDescent="0.3">
      <c r="A74" s="4">
        <v>272</v>
      </c>
      <c r="B74" s="4" t="s">
        <v>75</v>
      </c>
      <c r="C74" s="4">
        <v>46185.611304062499</v>
      </c>
      <c r="D74" s="4">
        <v>20</v>
      </c>
      <c r="E74" s="4" t="s">
        <v>40</v>
      </c>
      <c r="F74" s="4">
        <v>9.3000000000000007</v>
      </c>
      <c r="G74" s="4" t="s">
        <v>15</v>
      </c>
      <c r="H74" s="4">
        <v>8.6</v>
      </c>
      <c r="I74" s="4" t="s">
        <v>16</v>
      </c>
      <c r="J74" s="4" t="s">
        <v>51</v>
      </c>
      <c r="K74" s="4">
        <v>5.8</v>
      </c>
      <c r="L74" s="4">
        <v>4</v>
      </c>
      <c r="M74" s="4" t="s">
        <v>18</v>
      </c>
      <c r="N74" s="4" t="s">
        <v>30</v>
      </c>
      <c r="O74" s="4" t="s">
        <v>45</v>
      </c>
      <c r="P74" s="4" t="s">
        <v>21</v>
      </c>
    </row>
    <row r="75" spans="1:16" ht="28.8" x14ac:dyDescent="0.3">
      <c r="A75" s="4">
        <v>273</v>
      </c>
      <c r="B75" s="4" t="s">
        <v>75</v>
      </c>
      <c r="C75" s="4">
        <v>46185.611321273143</v>
      </c>
      <c r="D75" s="4">
        <v>32</v>
      </c>
      <c r="E75" s="4" t="s">
        <v>14</v>
      </c>
      <c r="F75" s="4">
        <v>6.9</v>
      </c>
      <c r="G75" s="4" t="s">
        <v>42</v>
      </c>
      <c r="H75" s="4">
        <v>5.7</v>
      </c>
      <c r="I75" s="4" t="s">
        <v>43</v>
      </c>
      <c r="J75" s="4"/>
      <c r="K75" s="4">
        <v>2.2000000000000002</v>
      </c>
      <c r="L75" s="4">
        <v>3</v>
      </c>
      <c r="M75" s="4" t="s">
        <v>39</v>
      </c>
      <c r="N75" s="4" t="s">
        <v>45</v>
      </c>
      <c r="O75" s="4" t="s">
        <v>30</v>
      </c>
      <c r="P75" s="4" t="s">
        <v>21</v>
      </c>
    </row>
    <row r="76" spans="1:16" ht="28.8" x14ac:dyDescent="0.3">
      <c r="A76" s="4">
        <v>274</v>
      </c>
      <c r="B76" s="4" t="s">
        <v>75</v>
      </c>
      <c r="C76" s="4">
        <v>46185.611344803241</v>
      </c>
      <c r="D76" s="4">
        <v>17</v>
      </c>
      <c r="E76" s="4" t="s">
        <v>14</v>
      </c>
      <c r="F76" s="4">
        <v>5.0999999999999996</v>
      </c>
      <c r="G76" s="4" t="s">
        <v>37</v>
      </c>
      <c r="H76" s="4">
        <v>6.1</v>
      </c>
      <c r="I76" s="4" t="s">
        <v>47</v>
      </c>
      <c r="J76" s="4"/>
      <c r="K76" s="4">
        <v>7.9</v>
      </c>
      <c r="L76" s="4">
        <v>2</v>
      </c>
      <c r="M76" s="4" t="s">
        <v>39</v>
      </c>
      <c r="N76" s="4" t="s">
        <v>30</v>
      </c>
      <c r="O76" s="4" t="s">
        <v>45</v>
      </c>
      <c r="P76" s="4" t="s">
        <v>21</v>
      </c>
    </row>
    <row r="77" spans="1:16" ht="28.8" x14ac:dyDescent="0.3">
      <c r="A77" s="4">
        <v>275</v>
      </c>
      <c r="B77" s="4" t="s">
        <v>75</v>
      </c>
      <c r="C77" s="4">
        <v>46185.611364143522</v>
      </c>
      <c r="D77" s="4">
        <v>32</v>
      </c>
      <c r="E77" s="4" t="s">
        <v>22</v>
      </c>
      <c r="F77" s="4">
        <v>9.8000000000000007</v>
      </c>
      <c r="G77" s="4" t="s">
        <v>37</v>
      </c>
      <c r="H77" s="4">
        <v>4.4000000000000004</v>
      </c>
      <c r="I77" s="4" t="s">
        <v>16</v>
      </c>
      <c r="J77" s="4" t="s">
        <v>52</v>
      </c>
      <c r="K77" s="4">
        <v>2.5</v>
      </c>
      <c r="L77" s="4">
        <v>10</v>
      </c>
      <c r="M77" s="4" t="s">
        <v>29</v>
      </c>
      <c r="N77" s="4" t="s">
        <v>19</v>
      </c>
      <c r="O77" s="4" t="s">
        <v>45</v>
      </c>
      <c r="P77" s="4" t="s">
        <v>21</v>
      </c>
    </row>
    <row r="78" spans="1:16" ht="28.8" x14ac:dyDescent="0.3">
      <c r="A78" s="4">
        <v>276</v>
      </c>
      <c r="B78" s="4" t="s">
        <v>75</v>
      </c>
      <c r="C78" s="4">
        <v>46185.61138905093</v>
      </c>
      <c r="D78" s="4">
        <v>21</v>
      </c>
      <c r="E78" s="4" t="s">
        <v>40</v>
      </c>
      <c r="F78" s="4">
        <v>7.6</v>
      </c>
      <c r="G78" s="4" t="s">
        <v>42</v>
      </c>
      <c r="H78" s="4">
        <v>4.0999999999999996</v>
      </c>
      <c r="I78" s="4" t="s">
        <v>43</v>
      </c>
      <c r="J78" s="4"/>
      <c r="K78" s="4">
        <v>2.8</v>
      </c>
      <c r="L78" s="4">
        <v>7</v>
      </c>
      <c r="M78" s="4" t="s">
        <v>29</v>
      </c>
      <c r="N78" s="4" t="s">
        <v>45</v>
      </c>
      <c r="O78" s="4" t="s">
        <v>30</v>
      </c>
      <c r="P78" s="4" t="s">
        <v>21</v>
      </c>
    </row>
    <row r="79" spans="1:16" ht="28.8" x14ac:dyDescent="0.3">
      <c r="A79" s="4">
        <v>277</v>
      </c>
      <c r="B79" s="4" t="s">
        <v>75</v>
      </c>
      <c r="C79" s="4">
        <v>46185.611413912033</v>
      </c>
      <c r="D79" s="4">
        <v>29</v>
      </c>
      <c r="E79" s="4" t="s">
        <v>40</v>
      </c>
      <c r="F79" s="4">
        <v>8.4</v>
      </c>
      <c r="G79" s="4" t="s">
        <v>27</v>
      </c>
      <c r="H79" s="4">
        <v>5.2</v>
      </c>
      <c r="I79" s="4" t="s">
        <v>35</v>
      </c>
      <c r="J79" s="4"/>
      <c r="K79" s="4">
        <v>1.9</v>
      </c>
      <c r="L79" s="4">
        <v>9</v>
      </c>
      <c r="M79" s="4" t="s">
        <v>33</v>
      </c>
      <c r="N79" s="4" t="s">
        <v>45</v>
      </c>
      <c r="O79" s="4" t="s">
        <v>30</v>
      </c>
      <c r="P79" s="4" t="s">
        <v>21</v>
      </c>
    </row>
    <row r="80" spans="1:16" ht="28.8" x14ac:dyDescent="0.3">
      <c r="A80" s="4">
        <v>278</v>
      </c>
      <c r="B80" s="4" t="s">
        <v>75</v>
      </c>
      <c r="C80" s="4">
        <v>46185.611436793981</v>
      </c>
      <c r="D80" s="4">
        <v>32</v>
      </c>
      <c r="E80" s="4" t="s">
        <v>22</v>
      </c>
      <c r="F80" s="4">
        <v>2.8</v>
      </c>
      <c r="G80" s="4" t="s">
        <v>42</v>
      </c>
      <c r="H80" s="4">
        <v>12.8</v>
      </c>
      <c r="I80" s="4" t="s">
        <v>28</v>
      </c>
      <c r="J80" s="4"/>
      <c r="K80" s="4">
        <v>2.7</v>
      </c>
      <c r="L80" s="4">
        <v>9</v>
      </c>
      <c r="M80" s="4" t="s">
        <v>29</v>
      </c>
      <c r="N80" s="4" t="s">
        <v>30</v>
      </c>
      <c r="O80" s="4" t="s">
        <v>20</v>
      </c>
      <c r="P80" s="4" t="s">
        <v>21</v>
      </c>
    </row>
    <row r="81" spans="1:16" ht="28.8" x14ac:dyDescent="0.3">
      <c r="A81" s="4">
        <v>279</v>
      </c>
      <c r="B81" s="4" t="s">
        <v>75</v>
      </c>
      <c r="C81" s="4">
        <v>46185.611455578706</v>
      </c>
      <c r="D81" s="4">
        <v>34</v>
      </c>
      <c r="E81" s="4" t="s">
        <v>14</v>
      </c>
      <c r="F81" s="4">
        <v>6.5</v>
      </c>
      <c r="G81" s="4" t="s">
        <v>27</v>
      </c>
      <c r="H81" s="4">
        <v>7.4</v>
      </c>
      <c r="I81" s="4" t="s">
        <v>24</v>
      </c>
      <c r="J81" s="4"/>
      <c r="K81" s="4">
        <v>3.3</v>
      </c>
      <c r="L81" s="4">
        <v>2</v>
      </c>
      <c r="M81" s="4" t="s">
        <v>18</v>
      </c>
      <c r="N81" s="4" t="s">
        <v>30</v>
      </c>
      <c r="O81" s="4" t="s">
        <v>20</v>
      </c>
      <c r="P81" s="4" t="s">
        <v>21</v>
      </c>
    </row>
    <row r="82" spans="1:16" ht="28.8" x14ac:dyDescent="0.3">
      <c r="A82" s="4">
        <v>280</v>
      </c>
      <c r="B82" s="4" t="s">
        <v>75</v>
      </c>
      <c r="C82" s="4">
        <v>46185.61147462963</v>
      </c>
      <c r="D82" s="4">
        <v>34</v>
      </c>
      <c r="E82" s="4" t="s">
        <v>14</v>
      </c>
      <c r="F82" s="4">
        <v>8.1999999999999993</v>
      </c>
      <c r="G82" s="4" t="s">
        <v>34</v>
      </c>
      <c r="H82" s="4">
        <v>10</v>
      </c>
      <c r="I82" s="4" t="s">
        <v>47</v>
      </c>
      <c r="J82" s="4"/>
      <c r="K82" s="4">
        <v>4.7</v>
      </c>
      <c r="L82" s="4">
        <v>3</v>
      </c>
      <c r="M82" s="4" t="s">
        <v>18</v>
      </c>
      <c r="N82" s="4" t="s">
        <v>19</v>
      </c>
      <c r="O82" s="4" t="s">
        <v>36</v>
      </c>
      <c r="P82" s="4" t="s">
        <v>21</v>
      </c>
    </row>
    <row r="83" spans="1:16" ht="28.8" x14ac:dyDescent="0.3">
      <c r="A83" s="4">
        <v>281</v>
      </c>
      <c r="B83" s="4" t="s">
        <v>75</v>
      </c>
      <c r="C83" s="4">
        <v>46185.611497442129</v>
      </c>
      <c r="D83" s="4">
        <v>31</v>
      </c>
      <c r="E83" s="4" t="s">
        <v>22</v>
      </c>
      <c r="F83" s="4">
        <v>8</v>
      </c>
      <c r="G83" s="4" t="s">
        <v>15</v>
      </c>
      <c r="H83" s="4">
        <v>9.1</v>
      </c>
      <c r="I83" s="4" t="s">
        <v>43</v>
      </c>
      <c r="J83" s="4"/>
      <c r="K83" s="4">
        <v>7.8</v>
      </c>
      <c r="L83" s="4">
        <v>6</v>
      </c>
      <c r="M83" s="4" t="s">
        <v>29</v>
      </c>
      <c r="N83" s="4" t="s">
        <v>19</v>
      </c>
      <c r="O83" s="4" t="s">
        <v>36</v>
      </c>
      <c r="P83" s="4" t="s">
        <v>21</v>
      </c>
    </row>
    <row r="84" spans="1:16" ht="28.8" x14ac:dyDescent="0.3">
      <c r="A84" s="4">
        <v>282</v>
      </c>
      <c r="B84" s="4" t="s">
        <v>75</v>
      </c>
      <c r="C84" s="4">
        <v>46185.611527534726</v>
      </c>
      <c r="D84" s="4">
        <v>17</v>
      </c>
      <c r="E84" s="4" t="s">
        <v>14</v>
      </c>
      <c r="F84" s="4">
        <v>2</v>
      </c>
      <c r="G84" s="4" t="s">
        <v>42</v>
      </c>
      <c r="H84" s="4">
        <v>10.7</v>
      </c>
      <c r="I84" s="4" t="s">
        <v>16</v>
      </c>
      <c r="J84" s="4" t="s">
        <v>52</v>
      </c>
      <c r="K84" s="4">
        <v>7.1</v>
      </c>
      <c r="L84" s="4">
        <v>1</v>
      </c>
      <c r="M84" s="4" t="s">
        <v>18</v>
      </c>
      <c r="N84" s="4" t="s">
        <v>30</v>
      </c>
      <c r="O84" s="4" t="s">
        <v>36</v>
      </c>
      <c r="P84" s="4" t="s">
        <v>21</v>
      </c>
    </row>
    <row r="85" spans="1:16" ht="28.8" x14ac:dyDescent="0.3">
      <c r="A85" s="4">
        <v>283</v>
      </c>
      <c r="B85" s="4" t="s">
        <v>75</v>
      </c>
      <c r="C85" s="4">
        <v>46185.611550428242</v>
      </c>
      <c r="D85" s="4">
        <v>31</v>
      </c>
      <c r="E85" s="4" t="s">
        <v>40</v>
      </c>
      <c r="F85" s="4">
        <v>6.3</v>
      </c>
      <c r="G85" s="4" t="s">
        <v>34</v>
      </c>
      <c r="H85" s="4">
        <v>5.3</v>
      </c>
      <c r="I85" s="4" t="s">
        <v>43</v>
      </c>
      <c r="J85" s="4"/>
      <c r="K85" s="4">
        <v>5.7</v>
      </c>
      <c r="L85" s="4">
        <v>10</v>
      </c>
      <c r="M85" s="4" t="s">
        <v>18</v>
      </c>
      <c r="N85" s="4" t="s">
        <v>30</v>
      </c>
      <c r="O85" s="4" t="s">
        <v>20</v>
      </c>
      <c r="P85" s="4" t="s">
        <v>21</v>
      </c>
    </row>
    <row r="86" spans="1:16" ht="28.8" x14ac:dyDescent="0.3">
      <c r="A86" s="4">
        <v>284</v>
      </c>
      <c r="B86" s="4" t="s">
        <v>75</v>
      </c>
      <c r="C86" s="4">
        <v>46185.611570104171</v>
      </c>
      <c r="D86" s="4">
        <v>23</v>
      </c>
      <c r="E86" s="4" t="s">
        <v>22</v>
      </c>
      <c r="F86" s="4">
        <v>9.1999999999999993</v>
      </c>
      <c r="G86" s="4" t="s">
        <v>34</v>
      </c>
      <c r="H86" s="4">
        <v>9</v>
      </c>
      <c r="I86" s="4" t="s">
        <v>43</v>
      </c>
      <c r="J86" s="4"/>
      <c r="K86" s="4">
        <v>2.4</v>
      </c>
      <c r="L86" s="4">
        <v>4</v>
      </c>
      <c r="M86" s="4" t="s">
        <v>33</v>
      </c>
      <c r="N86" s="4" t="s">
        <v>45</v>
      </c>
      <c r="O86" s="4" t="s">
        <v>20</v>
      </c>
      <c r="P86" s="4" t="s">
        <v>21</v>
      </c>
    </row>
    <row r="87" spans="1:16" ht="28.8" x14ac:dyDescent="0.3">
      <c r="A87" s="4">
        <v>285</v>
      </c>
      <c r="B87" s="4" t="s">
        <v>75</v>
      </c>
      <c r="C87" s="4">
        <v>46185.611595879629</v>
      </c>
      <c r="D87" s="4">
        <v>18</v>
      </c>
      <c r="E87" s="4" t="s">
        <v>14</v>
      </c>
      <c r="F87" s="4">
        <v>3.2</v>
      </c>
      <c r="G87" s="4" t="s">
        <v>23</v>
      </c>
      <c r="H87" s="4">
        <v>13.3</v>
      </c>
      <c r="I87" s="4" t="s">
        <v>24</v>
      </c>
      <c r="J87" s="4"/>
      <c r="K87" s="4">
        <v>4.3</v>
      </c>
      <c r="L87" s="4">
        <v>4</v>
      </c>
      <c r="M87" s="4" t="s">
        <v>39</v>
      </c>
      <c r="N87" s="4" t="s">
        <v>30</v>
      </c>
      <c r="O87" s="4" t="s">
        <v>36</v>
      </c>
      <c r="P87" s="4" t="s">
        <v>21</v>
      </c>
    </row>
    <row r="88" spans="1:16" ht="28.8" x14ac:dyDescent="0.3">
      <c r="A88" s="4">
        <v>286</v>
      </c>
      <c r="B88" s="4" t="s">
        <v>75</v>
      </c>
      <c r="C88" s="4">
        <v>46185.611615069443</v>
      </c>
      <c r="D88" s="4">
        <v>29</v>
      </c>
      <c r="E88" s="4" t="s">
        <v>14</v>
      </c>
      <c r="F88" s="4">
        <v>7.4</v>
      </c>
      <c r="G88" s="4" t="s">
        <v>37</v>
      </c>
      <c r="H88" s="4">
        <v>9.3000000000000007</v>
      </c>
      <c r="I88" s="4" t="s">
        <v>43</v>
      </c>
      <c r="J88" s="4"/>
      <c r="K88" s="4">
        <v>4.5</v>
      </c>
      <c r="L88" s="4">
        <v>4</v>
      </c>
      <c r="M88" s="4" t="s">
        <v>29</v>
      </c>
      <c r="N88" s="4" t="s">
        <v>45</v>
      </c>
      <c r="O88" s="4" t="s">
        <v>36</v>
      </c>
      <c r="P88" s="4" t="s">
        <v>21</v>
      </c>
    </row>
    <row r="89" spans="1:16" ht="28.8" x14ac:dyDescent="0.3">
      <c r="A89" s="4">
        <v>287</v>
      </c>
      <c r="B89" s="4" t="s">
        <v>75</v>
      </c>
      <c r="C89" s="4">
        <v>46185.611639814815</v>
      </c>
      <c r="D89" s="4">
        <v>29</v>
      </c>
      <c r="E89" s="4" t="s">
        <v>14</v>
      </c>
      <c r="F89" s="4">
        <v>2.7</v>
      </c>
      <c r="G89" s="4" t="s">
        <v>15</v>
      </c>
      <c r="H89" s="4">
        <v>7</v>
      </c>
      <c r="I89" s="4" t="s">
        <v>46</v>
      </c>
      <c r="J89" s="4"/>
      <c r="K89" s="4">
        <v>1</v>
      </c>
      <c r="L89" s="4">
        <v>4</v>
      </c>
      <c r="M89" s="4" t="s">
        <v>33</v>
      </c>
      <c r="N89" s="4" t="s">
        <v>30</v>
      </c>
      <c r="O89" s="4" t="s">
        <v>36</v>
      </c>
      <c r="P89" s="4" t="s">
        <v>21</v>
      </c>
    </row>
    <row r="90" spans="1:16" ht="28.8" x14ac:dyDescent="0.3">
      <c r="A90" s="4">
        <v>288</v>
      </c>
      <c r="B90" s="4" t="s">
        <v>75</v>
      </c>
      <c r="C90" s="4">
        <v>46185.611661168979</v>
      </c>
      <c r="D90" s="4">
        <v>29</v>
      </c>
      <c r="E90" s="4" t="s">
        <v>22</v>
      </c>
      <c r="F90" s="4">
        <v>3.5</v>
      </c>
      <c r="G90" s="4" t="s">
        <v>42</v>
      </c>
      <c r="H90" s="4">
        <v>4.9000000000000004</v>
      </c>
      <c r="I90" s="4" t="s">
        <v>16</v>
      </c>
      <c r="J90" s="4" t="s">
        <v>48</v>
      </c>
      <c r="K90" s="4">
        <v>7.2</v>
      </c>
      <c r="L90" s="4">
        <v>2</v>
      </c>
      <c r="M90" s="4" t="s">
        <v>18</v>
      </c>
      <c r="N90" s="4" t="s">
        <v>19</v>
      </c>
      <c r="O90" s="4" t="s">
        <v>36</v>
      </c>
      <c r="P90" s="4" t="s">
        <v>21</v>
      </c>
    </row>
    <row r="91" spans="1:16" ht="28.8" x14ac:dyDescent="0.3">
      <c r="A91" s="4">
        <v>289</v>
      </c>
      <c r="B91" s="4" t="s">
        <v>75</v>
      </c>
      <c r="C91" s="4">
        <v>46185.611678865738</v>
      </c>
      <c r="D91" s="4">
        <v>22</v>
      </c>
      <c r="E91" s="4" t="s">
        <v>14</v>
      </c>
      <c r="F91" s="4">
        <v>5.7</v>
      </c>
      <c r="G91" s="4" t="s">
        <v>27</v>
      </c>
      <c r="H91" s="4">
        <v>4.4000000000000004</v>
      </c>
      <c r="I91" s="4" t="s">
        <v>38</v>
      </c>
      <c r="J91" s="4"/>
      <c r="K91" s="4">
        <v>6.5</v>
      </c>
      <c r="L91" s="4">
        <v>5</v>
      </c>
      <c r="M91" s="4" t="s">
        <v>18</v>
      </c>
      <c r="N91" s="4" t="s">
        <v>30</v>
      </c>
      <c r="O91" s="4" t="s">
        <v>45</v>
      </c>
      <c r="P91" s="4" t="s">
        <v>21</v>
      </c>
    </row>
    <row r="92" spans="1:16" ht="28.8" x14ac:dyDescent="0.3">
      <c r="A92" s="4">
        <v>290</v>
      </c>
      <c r="B92" s="4" t="s">
        <v>75</v>
      </c>
      <c r="C92" s="4">
        <v>46185.611704803239</v>
      </c>
      <c r="D92" s="4">
        <v>18</v>
      </c>
      <c r="E92" s="4" t="s">
        <v>22</v>
      </c>
      <c r="F92" s="4">
        <v>8.9</v>
      </c>
      <c r="G92" s="4" t="s">
        <v>27</v>
      </c>
      <c r="H92" s="4">
        <v>5</v>
      </c>
      <c r="I92" s="4" t="s">
        <v>43</v>
      </c>
      <c r="J92" s="4"/>
      <c r="K92" s="4">
        <v>4.9000000000000004</v>
      </c>
      <c r="L92" s="4">
        <v>3</v>
      </c>
      <c r="M92" s="4" t="s">
        <v>18</v>
      </c>
      <c r="N92" s="4" t="s">
        <v>19</v>
      </c>
      <c r="O92" s="4" t="s">
        <v>45</v>
      </c>
      <c r="P92" s="4" t="s">
        <v>21</v>
      </c>
    </row>
    <row r="93" spans="1:16" ht="28.8" x14ac:dyDescent="0.3">
      <c r="A93" s="4">
        <v>291</v>
      </c>
      <c r="B93" s="4" t="s">
        <v>75</v>
      </c>
      <c r="C93" s="4">
        <v>46185.61172951389</v>
      </c>
      <c r="D93" s="4">
        <v>18</v>
      </c>
      <c r="E93" s="4" t="s">
        <v>40</v>
      </c>
      <c r="F93" s="4">
        <v>6.8</v>
      </c>
      <c r="G93" s="4" t="s">
        <v>44</v>
      </c>
      <c r="H93" s="4">
        <v>4.0999999999999996</v>
      </c>
      <c r="I93" s="4" t="s">
        <v>47</v>
      </c>
      <c r="J93" s="4"/>
      <c r="K93" s="4">
        <v>2.2999999999999998</v>
      </c>
      <c r="L93" s="4">
        <v>9</v>
      </c>
      <c r="M93" s="4" t="s">
        <v>29</v>
      </c>
      <c r="N93" s="4" t="s">
        <v>30</v>
      </c>
      <c r="O93" s="4" t="s">
        <v>20</v>
      </c>
      <c r="P93" s="4" t="s">
        <v>21</v>
      </c>
    </row>
    <row r="94" spans="1:16" ht="28.8" x14ac:dyDescent="0.3">
      <c r="A94" s="4">
        <v>292</v>
      </c>
      <c r="B94" s="4" t="s">
        <v>75</v>
      </c>
      <c r="C94" s="4">
        <v>46185.611750127311</v>
      </c>
      <c r="D94" s="4">
        <v>30</v>
      </c>
      <c r="E94" s="4" t="s">
        <v>22</v>
      </c>
      <c r="F94" s="4">
        <v>4.2</v>
      </c>
      <c r="G94" s="4" t="s">
        <v>34</v>
      </c>
      <c r="H94" s="4">
        <v>7.9</v>
      </c>
      <c r="I94" s="4" t="s">
        <v>46</v>
      </c>
      <c r="J94" s="4"/>
      <c r="K94" s="4">
        <v>3.4</v>
      </c>
      <c r="L94" s="4">
        <v>1</v>
      </c>
      <c r="M94" s="4" t="s">
        <v>39</v>
      </c>
      <c r="N94" s="4" t="s">
        <v>45</v>
      </c>
      <c r="O94" s="4" t="s">
        <v>30</v>
      </c>
      <c r="P94" s="4" t="s">
        <v>21</v>
      </c>
    </row>
    <row r="95" spans="1:16" ht="28.8" x14ac:dyDescent="0.3">
      <c r="A95" s="4">
        <v>293</v>
      </c>
      <c r="B95" s="4" t="s">
        <v>75</v>
      </c>
      <c r="C95" s="4">
        <v>46185.611770312498</v>
      </c>
      <c r="D95" s="4">
        <v>18</v>
      </c>
      <c r="E95" s="4" t="s">
        <v>22</v>
      </c>
      <c r="F95" s="4">
        <v>4.0999999999999996</v>
      </c>
      <c r="G95" s="4" t="s">
        <v>34</v>
      </c>
      <c r="H95" s="4">
        <v>7.2</v>
      </c>
      <c r="I95" s="4" t="s">
        <v>32</v>
      </c>
      <c r="J95" s="4"/>
      <c r="K95" s="4">
        <v>6.4</v>
      </c>
      <c r="L95" s="4">
        <v>10</v>
      </c>
      <c r="M95" s="4" t="s">
        <v>33</v>
      </c>
      <c r="N95" s="4" t="s">
        <v>45</v>
      </c>
      <c r="O95" s="4" t="s">
        <v>45</v>
      </c>
      <c r="P95" s="4" t="s">
        <v>21</v>
      </c>
    </row>
    <row r="96" spans="1:16" ht="28.8" x14ac:dyDescent="0.3">
      <c r="A96" s="4">
        <v>294</v>
      </c>
      <c r="B96" s="4" t="s">
        <v>75</v>
      </c>
      <c r="C96" s="4">
        <v>46185.611794062497</v>
      </c>
      <c r="D96" s="4">
        <v>24</v>
      </c>
      <c r="E96" s="4" t="s">
        <v>22</v>
      </c>
      <c r="F96" s="4">
        <v>3.2</v>
      </c>
      <c r="G96" s="4" t="s">
        <v>42</v>
      </c>
      <c r="H96" s="4">
        <v>10.199999999999999</v>
      </c>
      <c r="I96" s="4" t="s">
        <v>38</v>
      </c>
      <c r="J96" s="4"/>
      <c r="K96" s="4">
        <v>4.8</v>
      </c>
      <c r="L96" s="4">
        <v>8</v>
      </c>
      <c r="M96" s="4" t="s">
        <v>18</v>
      </c>
      <c r="N96" s="4" t="s">
        <v>45</v>
      </c>
      <c r="O96" s="4" t="s">
        <v>36</v>
      </c>
      <c r="P96" s="4" t="s">
        <v>21</v>
      </c>
    </row>
    <row r="97" spans="1:16" ht="28.8" x14ac:dyDescent="0.3">
      <c r="A97" s="4">
        <v>295</v>
      </c>
      <c r="B97" s="4" t="s">
        <v>75</v>
      </c>
      <c r="C97" s="4">
        <v>46185.61181037037</v>
      </c>
      <c r="D97" s="4">
        <v>27</v>
      </c>
      <c r="E97" s="4" t="s">
        <v>14</v>
      </c>
      <c r="F97" s="4">
        <v>9.9</v>
      </c>
      <c r="G97" s="4" t="s">
        <v>34</v>
      </c>
      <c r="H97" s="4">
        <v>12.2</v>
      </c>
      <c r="I97" s="4" t="s">
        <v>41</v>
      </c>
      <c r="J97" s="4"/>
      <c r="K97" s="4">
        <v>4.8</v>
      </c>
      <c r="L97" s="4">
        <v>3</v>
      </c>
      <c r="M97" s="4" t="s">
        <v>29</v>
      </c>
      <c r="N97" s="4" t="s">
        <v>30</v>
      </c>
      <c r="O97" s="4" t="s">
        <v>36</v>
      </c>
      <c r="P97" s="4" t="s">
        <v>21</v>
      </c>
    </row>
    <row r="98" spans="1:16" ht="28.8" x14ac:dyDescent="0.3">
      <c r="A98" s="4">
        <v>296</v>
      </c>
      <c r="B98" s="4" t="s">
        <v>75</v>
      </c>
      <c r="C98" s="4">
        <v>46185.61183248843</v>
      </c>
      <c r="D98" s="4">
        <v>31</v>
      </c>
      <c r="E98" s="4" t="s">
        <v>22</v>
      </c>
      <c r="F98" s="4">
        <v>6.6</v>
      </c>
      <c r="G98" s="4" t="s">
        <v>44</v>
      </c>
      <c r="H98" s="4">
        <v>10</v>
      </c>
      <c r="I98" s="4" t="s">
        <v>38</v>
      </c>
      <c r="J98" s="4"/>
      <c r="K98" s="4">
        <v>7.1</v>
      </c>
      <c r="L98" s="4">
        <v>1</v>
      </c>
      <c r="M98" s="4" t="s">
        <v>39</v>
      </c>
      <c r="N98" s="4" t="s">
        <v>19</v>
      </c>
      <c r="O98" s="4" t="s">
        <v>30</v>
      </c>
      <c r="P98" s="4" t="s">
        <v>21</v>
      </c>
    </row>
    <row r="99" spans="1:16" ht="28.8" x14ac:dyDescent="0.3">
      <c r="A99" s="4">
        <v>297</v>
      </c>
      <c r="B99" s="4" t="s">
        <v>75</v>
      </c>
      <c r="C99" s="4">
        <v>46185.611865636572</v>
      </c>
      <c r="D99" s="4">
        <v>29</v>
      </c>
      <c r="E99" s="4" t="s">
        <v>40</v>
      </c>
      <c r="F99" s="4">
        <v>3.9</v>
      </c>
      <c r="G99" s="4" t="s">
        <v>37</v>
      </c>
      <c r="H99" s="4">
        <v>6.3</v>
      </c>
      <c r="I99" s="4" t="s">
        <v>28</v>
      </c>
      <c r="J99" s="4"/>
      <c r="K99" s="4">
        <v>4.9000000000000004</v>
      </c>
      <c r="L99" s="4">
        <v>4</v>
      </c>
      <c r="M99" s="4" t="s">
        <v>39</v>
      </c>
      <c r="N99" s="4" t="s">
        <v>25</v>
      </c>
      <c r="O99" s="4" t="s">
        <v>36</v>
      </c>
      <c r="P99" s="4" t="s">
        <v>21</v>
      </c>
    </row>
    <row r="100" spans="1:16" ht="28.8" x14ac:dyDescent="0.3">
      <c r="A100" s="4">
        <v>298</v>
      </c>
      <c r="B100" s="4" t="s">
        <v>75</v>
      </c>
      <c r="C100" s="4">
        <v>46185.611885798615</v>
      </c>
      <c r="D100" s="4">
        <v>32</v>
      </c>
      <c r="E100" s="4" t="s">
        <v>22</v>
      </c>
      <c r="F100" s="4">
        <v>9.6</v>
      </c>
      <c r="G100" s="4" t="s">
        <v>34</v>
      </c>
      <c r="H100" s="4">
        <v>8.9</v>
      </c>
      <c r="I100" s="4" t="s">
        <v>16</v>
      </c>
      <c r="J100" s="4" t="s">
        <v>76</v>
      </c>
      <c r="K100" s="4">
        <v>1</v>
      </c>
      <c r="L100" s="4">
        <v>1</v>
      </c>
      <c r="M100" s="4" t="s">
        <v>18</v>
      </c>
      <c r="N100" s="4" t="s">
        <v>45</v>
      </c>
      <c r="O100" s="4" t="s">
        <v>36</v>
      </c>
      <c r="P100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8"/>
  <sheetViews>
    <sheetView workbookViewId="0"/>
  </sheetViews>
  <sheetFormatPr baseColWidth="10" defaultColWidth="8.88671875" defaultRowHeight="14.4" x14ac:dyDescent="0.3"/>
  <cols>
    <col min="1" max="1" width="16" customWidth="1"/>
    <col min="2" max="2" width="8" customWidth="1"/>
    <col min="3" max="3" width="14" customWidth="1"/>
    <col min="4" max="4" width="18" customWidth="1"/>
    <col min="5" max="5" width="16" customWidth="1"/>
    <col min="6" max="6" width="18" customWidth="1"/>
    <col min="7" max="7" width="22" customWidth="1"/>
    <col min="8" max="8" width="18" customWidth="1"/>
    <col min="9" max="9" width="20" customWidth="1"/>
    <col min="10" max="10" width="18" customWidth="1"/>
    <col min="11" max="13" width="24" customWidth="1"/>
  </cols>
  <sheetData>
    <row r="1" spans="1:13" ht="25.65" customHeight="1" x14ac:dyDescent="0.3">
      <c r="A1" s="2" t="s">
        <v>70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46185.508909733791</v>
      </c>
      <c r="B2" s="4">
        <v>20</v>
      </c>
      <c r="C2" s="4" t="s">
        <v>14</v>
      </c>
      <c r="D2" s="4">
        <v>4</v>
      </c>
      <c r="E2" s="4" t="s">
        <v>15</v>
      </c>
      <c r="F2" s="4">
        <v>6</v>
      </c>
      <c r="G2" s="4" t="s">
        <v>16</v>
      </c>
      <c r="H2" s="4" t="s">
        <v>17</v>
      </c>
      <c r="I2" s="4">
        <v>3</v>
      </c>
      <c r="J2" s="4">
        <v>7</v>
      </c>
      <c r="K2" s="4" t="s">
        <v>18</v>
      </c>
      <c r="L2" s="4" t="s">
        <v>19</v>
      </c>
      <c r="M2" s="4" t="s">
        <v>20</v>
      </c>
    </row>
    <row r="3" spans="1:13" ht="28.8" x14ac:dyDescent="0.3">
      <c r="A3" s="4">
        <v>46185.512116099533</v>
      </c>
      <c r="B3" s="4">
        <v>22</v>
      </c>
      <c r="C3" s="4" t="s">
        <v>22</v>
      </c>
      <c r="D3" s="4">
        <v>62</v>
      </c>
      <c r="E3" s="4" t="s">
        <v>23</v>
      </c>
      <c r="F3" s="4">
        <v>12</v>
      </c>
      <c r="G3" s="4" t="s">
        <v>24</v>
      </c>
      <c r="H3" s="4"/>
      <c r="I3" s="4" t="s">
        <v>73</v>
      </c>
      <c r="J3" s="4">
        <v>5</v>
      </c>
      <c r="K3" s="4" t="s">
        <v>18</v>
      </c>
      <c r="L3" s="4" t="s">
        <v>25</v>
      </c>
      <c r="M3" s="4" t="s">
        <v>20</v>
      </c>
    </row>
    <row r="4" spans="1:13" x14ac:dyDescent="0.3">
      <c r="A4" s="4">
        <v>46185.512191087968</v>
      </c>
      <c r="B4" s="4">
        <v>20</v>
      </c>
      <c r="C4" s="4" t="s">
        <v>22</v>
      </c>
      <c r="D4" s="4" t="s">
        <v>74</v>
      </c>
      <c r="E4" s="4" t="s">
        <v>27</v>
      </c>
      <c r="F4" s="4">
        <v>9</v>
      </c>
      <c r="G4" s="4" t="s">
        <v>28</v>
      </c>
      <c r="H4" s="4"/>
      <c r="I4" s="4">
        <v>5</v>
      </c>
      <c r="J4" s="4">
        <v>10</v>
      </c>
      <c r="K4" s="4" t="s">
        <v>29</v>
      </c>
      <c r="L4" s="4" t="s">
        <v>30</v>
      </c>
      <c r="M4" s="4" t="s">
        <v>20</v>
      </c>
    </row>
    <row r="5" spans="1:13" x14ac:dyDescent="0.3">
      <c r="A5" s="4">
        <v>46185.521307280098</v>
      </c>
      <c r="B5" s="4">
        <v>25</v>
      </c>
      <c r="C5" s="4" t="s">
        <v>22</v>
      </c>
      <c r="D5" s="4">
        <v>4</v>
      </c>
      <c r="E5" s="4" t="s">
        <v>23</v>
      </c>
      <c r="F5" s="4">
        <v>6</v>
      </c>
      <c r="G5" s="4" t="s">
        <v>32</v>
      </c>
      <c r="H5" s="4"/>
      <c r="I5" s="4">
        <v>5</v>
      </c>
      <c r="J5" s="4">
        <v>7</v>
      </c>
      <c r="K5" s="4" t="s">
        <v>33</v>
      </c>
      <c r="L5" s="4" t="s">
        <v>25</v>
      </c>
      <c r="M5" s="4" t="s">
        <v>20</v>
      </c>
    </row>
    <row r="6" spans="1:13" x14ac:dyDescent="0.3">
      <c r="A6" s="4">
        <v>46185.522910509259</v>
      </c>
      <c r="B6" s="4">
        <v>25</v>
      </c>
      <c r="C6" s="4" t="s">
        <v>22</v>
      </c>
      <c r="D6" s="4">
        <v>2.2000000000000002</v>
      </c>
      <c r="E6" s="4" t="s">
        <v>34</v>
      </c>
      <c r="F6" s="4">
        <v>5.0999999999999996</v>
      </c>
      <c r="G6" s="4" t="s">
        <v>35</v>
      </c>
      <c r="H6" s="4"/>
      <c r="I6" s="4">
        <v>1.4</v>
      </c>
      <c r="J6" s="4">
        <v>7</v>
      </c>
      <c r="K6" s="4" t="s">
        <v>18</v>
      </c>
      <c r="L6" s="4" t="s">
        <v>19</v>
      </c>
      <c r="M6" s="4" t="s">
        <v>36</v>
      </c>
    </row>
    <row r="7" spans="1:13" x14ac:dyDescent="0.3">
      <c r="A7" s="4">
        <v>46185.522978587964</v>
      </c>
      <c r="B7" s="4">
        <v>20</v>
      </c>
      <c r="C7" s="4" t="s">
        <v>22</v>
      </c>
      <c r="D7" s="4">
        <v>4</v>
      </c>
      <c r="E7" s="4" t="s">
        <v>37</v>
      </c>
      <c r="F7" s="4">
        <v>6.3</v>
      </c>
      <c r="G7" s="4" t="s">
        <v>38</v>
      </c>
      <c r="H7" s="4"/>
      <c r="I7" s="4">
        <v>3.8</v>
      </c>
      <c r="J7" s="4">
        <v>7</v>
      </c>
      <c r="K7" s="4" t="s">
        <v>39</v>
      </c>
      <c r="L7" s="4" t="s">
        <v>30</v>
      </c>
      <c r="M7" s="4" t="s">
        <v>36</v>
      </c>
    </row>
    <row r="8" spans="1:13" x14ac:dyDescent="0.3">
      <c r="A8" s="4">
        <v>46185.52304777778</v>
      </c>
      <c r="B8" s="4">
        <v>31</v>
      </c>
      <c r="C8" s="4" t="s">
        <v>22</v>
      </c>
      <c r="D8" s="4">
        <v>4.0999999999999996</v>
      </c>
      <c r="E8" s="4" t="s">
        <v>15</v>
      </c>
      <c r="F8" s="4">
        <v>5.5</v>
      </c>
      <c r="G8" s="4" t="s">
        <v>28</v>
      </c>
      <c r="H8" s="4"/>
      <c r="I8" s="4">
        <v>3.4</v>
      </c>
      <c r="J8" s="4">
        <v>6</v>
      </c>
      <c r="K8" s="4" t="s">
        <v>33</v>
      </c>
      <c r="L8" s="4" t="s">
        <v>30</v>
      </c>
      <c r="M8" s="4" t="s">
        <v>20</v>
      </c>
    </row>
    <row r="9" spans="1:13" x14ac:dyDescent="0.3">
      <c r="A9" s="4">
        <v>46185.523115706019</v>
      </c>
      <c r="B9" s="4">
        <v>18</v>
      </c>
      <c r="C9" s="4" t="s">
        <v>40</v>
      </c>
      <c r="D9" s="4">
        <v>5.8</v>
      </c>
      <c r="E9" s="4" t="s">
        <v>27</v>
      </c>
      <c r="F9" s="4">
        <v>7</v>
      </c>
      <c r="G9" s="4" t="s">
        <v>41</v>
      </c>
      <c r="H9" s="4"/>
      <c r="I9" s="4">
        <v>2.9</v>
      </c>
      <c r="J9" s="4">
        <v>6</v>
      </c>
      <c r="K9" s="4" t="s">
        <v>18</v>
      </c>
      <c r="L9" s="4" t="s">
        <v>25</v>
      </c>
      <c r="M9" s="4" t="s">
        <v>36</v>
      </c>
    </row>
    <row r="10" spans="1:13" ht="28.8" x14ac:dyDescent="0.3">
      <c r="A10" s="4">
        <v>46185.523182465273</v>
      </c>
      <c r="B10" s="4">
        <v>32</v>
      </c>
      <c r="C10" s="4" t="s">
        <v>14</v>
      </c>
      <c r="D10" s="4">
        <v>2.6</v>
      </c>
      <c r="E10" s="4" t="s">
        <v>15</v>
      </c>
      <c r="F10" s="4">
        <v>3.5</v>
      </c>
      <c r="G10" s="4" t="s">
        <v>24</v>
      </c>
      <c r="H10" s="4"/>
      <c r="I10" s="4">
        <v>2</v>
      </c>
      <c r="J10" s="4">
        <v>8</v>
      </c>
      <c r="K10" s="4" t="s">
        <v>18</v>
      </c>
      <c r="L10" s="4" t="s">
        <v>30</v>
      </c>
      <c r="M10" s="4" t="s">
        <v>36</v>
      </c>
    </row>
    <row r="11" spans="1:13" x14ac:dyDescent="0.3">
      <c r="A11" s="4">
        <v>46185.523247962963</v>
      </c>
      <c r="B11" s="4">
        <v>23</v>
      </c>
      <c r="C11" s="4" t="s">
        <v>14</v>
      </c>
      <c r="D11" s="4">
        <v>6.7</v>
      </c>
      <c r="E11" s="4" t="s">
        <v>34</v>
      </c>
      <c r="F11" s="4">
        <v>9.9</v>
      </c>
      <c r="G11" s="4" t="s">
        <v>41</v>
      </c>
      <c r="H11" s="4"/>
      <c r="I11" s="4">
        <v>1.6</v>
      </c>
      <c r="J11" s="4">
        <v>6</v>
      </c>
      <c r="K11" s="4" t="s">
        <v>18</v>
      </c>
      <c r="L11" s="4" t="s">
        <v>19</v>
      </c>
      <c r="M11" s="4" t="s">
        <v>20</v>
      </c>
    </row>
    <row r="12" spans="1:13" x14ac:dyDescent="0.3">
      <c r="A12" s="4">
        <v>46185.523315162034</v>
      </c>
      <c r="B12" s="4">
        <v>20</v>
      </c>
      <c r="C12" s="4" t="s">
        <v>22</v>
      </c>
      <c r="D12" s="4">
        <v>5.6</v>
      </c>
      <c r="E12" s="4" t="s">
        <v>27</v>
      </c>
      <c r="F12" s="4">
        <v>8.4</v>
      </c>
      <c r="G12" s="4" t="s">
        <v>32</v>
      </c>
      <c r="H12" s="4"/>
      <c r="I12" s="4">
        <v>1.8</v>
      </c>
      <c r="J12" s="4">
        <v>6</v>
      </c>
      <c r="K12" s="4" t="s">
        <v>18</v>
      </c>
      <c r="L12" s="4" t="s">
        <v>19</v>
      </c>
      <c r="M12" s="4" t="s">
        <v>36</v>
      </c>
    </row>
    <row r="13" spans="1:13" x14ac:dyDescent="0.3">
      <c r="A13" s="4">
        <v>46185.523380914354</v>
      </c>
      <c r="B13" s="4">
        <v>19</v>
      </c>
      <c r="C13" s="4" t="s">
        <v>14</v>
      </c>
      <c r="D13" s="4">
        <v>5.4</v>
      </c>
      <c r="E13" s="4" t="s">
        <v>23</v>
      </c>
      <c r="F13" s="4">
        <v>7.9</v>
      </c>
      <c r="G13" s="4" t="s">
        <v>32</v>
      </c>
      <c r="H13" s="4"/>
      <c r="I13" s="4">
        <v>2.7</v>
      </c>
      <c r="J13" s="4">
        <v>6</v>
      </c>
      <c r="K13" s="4" t="s">
        <v>18</v>
      </c>
      <c r="L13" s="4" t="s">
        <v>25</v>
      </c>
      <c r="M13" s="4" t="s">
        <v>36</v>
      </c>
    </row>
    <row r="14" spans="1:13" x14ac:dyDescent="0.3">
      <c r="A14" s="4">
        <v>46185.523447141204</v>
      </c>
      <c r="B14" s="4">
        <v>22</v>
      </c>
      <c r="C14" s="4" t="s">
        <v>14</v>
      </c>
      <c r="D14" s="4">
        <v>5</v>
      </c>
      <c r="E14" s="4" t="s">
        <v>42</v>
      </c>
      <c r="F14" s="4">
        <v>7.8</v>
      </c>
      <c r="G14" s="4" t="s">
        <v>28</v>
      </c>
      <c r="H14" s="4"/>
      <c r="I14" s="4">
        <v>3.5</v>
      </c>
      <c r="J14" s="4">
        <v>7</v>
      </c>
      <c r="K14" s="4" t="s">
        <v>39</v>
      </c>
      <c r="L14" s="4" t="s">
        <v>19</v>
      </c>
      <c r="M14" s="4" t="s">
        <v>30</v>
      </c>
    </row>
    <row r="15" spans="1:13" x14ac:dyDescent="0.3">
      <c r="A15" s="4">
        <v>46185.523512280095</v>
      </c>
      <c r="B15" s="4">
        <v>17</v>
      </c>
      <c r="C15" s="4" t="s">
        <v>22</v>
      </c>
      <c r="D15" s="4">
        <v>5.6</v>
      </c>
      <c r="E15" s="4" t="s">
        <v>42</v>
      </c>
      <c r="F15" s="4">
        <v>7.8</v>
      </c>
      <c r="G15" s="4" t="s">
        <v>38</v>
      </c>
      <c r="H15" s="4"/>
      <c r="I15" s="4">
        <v>2.9</v>
      </c>
      <c r="J15" s="4">
        <v>7</v>
      </c>
      <c r="K15" s="4" t="s">
        <v>18</v>
      </c>
      <c r="L15" s="4" t="s">
        <v>19</v>
      </c>
      <c r="M15" s="4" t="s">
        <v>30</v>
      </c>
    </row>
    <row r="16" spans="1:13" x14ac:dyDescent="0.3">
      <c r="A16" s="4">
        <v>46185.523576284722</v>
      </c>
      <c r="B16" s="4">
        <v>22</v>
      </c>
      <c r="C16" s="4" t="s">
        <v>14</v>
      </c>
      <c r="D16" s="4">
        <v>5.0999999999999996</v>
      </c>
      <c r="E16" s="4" t="s">
        <v>37</v>
      </c>
      <c r="F16" s="4">
        <v>8.3000000000000007</v>
      </c>
      <c r="G16" s="4" t="s">
        <v>28</v>
      </c>
      <c r="H16" s="4"/>
      <c r="I16" s="4">
        <v>3.3</v>
      </c>
      <c r="J16" s="4">
        <v>6</v>
      </c>
      <c r="K16" s="4" t="s">
        <v>18</v>
      </c>
      <c r="L16" s="4" t="s">
        <v>25</v>
      </c>
      <c r="M16" s="4" t="s">
        <v>30</v>
      </c>
    </row>
    <row r="17" spans="1:13" x14ac:dyDescent="0.3">
      <c r="A17" s="4">
        <v>46185.523640729167</v>
      </c>
      <c r="B17" s="4">
        <v>21</v>
      </c>
      <c r="C17" s="4" t="s">
        <v>22</v>
      </c>
      <c r="D17" s="4">
        <v>2.9</v>
      </c>
      <c r="E17" s="4" t="s">
        <v>27</v>
      </c>
      <c r="F17" s="4">
        <v>4.9000000000000004</v>
      </c>
      <c r="G17" s="4" t="s">
        <v>28</v>
      </c>
      <c r="H17" s="4"/>
      <c r="I17" s="4">
        <v>1.7</v>
      </c>
      <c r="J17" s="4">
        <v>8</v>
      </c>
      <c r="K17" s="4" t="s">
        <v>18</v>
      </c>
      <c r="L17" s="4" t="s">
        <v>30</v>
      </c>
      <c r="M17" s="4" t="s">
        <v>20</v>
      </c>
    </row>
    <row r="18" spans="1:13" x14ac:dyDescent="0.3">
      <c r="A18" s="4">
        <v>46185.523705451385</v>
      </c>
      <c r="B18" s="4">
        <v>20</v>
      </c>
      <c r="C18" s="4" t="s">
        <v>22</v>
      </c>
      <c r="D18" s="4">
        <v>8.3000000000000007</v>
      </c>
      <c r="E18" s="4" t="s">
        <v>23</v>
      </c>
      <c r="F18" s="4">
        <v>11.4</v>
      </c>
      <c r="G18" s="4" t="s">
        <v>43</v>
      </c>
      <c r="H18" s="4"/>
      <c r="I18" s="4">
        <v>7.3</v>
      </c>
      <c r="J18" s="4">
        <v>3</v>
      </c>
      <c r="K18" s="4" t="s">
        <v>33</v>
      </c>
      <c r="L18" s="4" t="s">
        <v>25</v>
      </c>
      <c r="M18" s="4" t="s">
        <v>20</v>
      </c>
    </row>
    <row r="19" spans="1:13" x14ac:dyDescent="0.3">
      <c r="A19" s="4">
        <v>46185.523772187502</v>
      </c>
      <c r="B19" s="4">
        <v>18</v>
      </c>
      <c r="C19" s="4" t="s">
        <v>22</v>
      </c>
      <c r="D19" s="4">
        <v>7.1</v>
      </c>
      <c r="E19" s="4" t="s">
        <v>34</v>
      </c>
      <c r="F19" s="4">
        <v>8.1</v>
      </c>
      <c r="G19" s="4" t="s">
        <v>28</v>
      </c>
      <c r="H19" s="4"/>
      <c r="I19" s="4">
        <v>5.2</v>
      </c>
      <c r="J19" s="4">
        <v>5</v>
      </c>
      <c r="K19" s="4" t="s">
        <v>18</v>
      </c>
      <c r="L19" s="4" t="s">
        <v>25</v>
      </c>
      <c r="M19" s="4" t="s">
        <v>36</v>
      </c>
    </row>
    <row r="20" spans="1:13" x14ac:dyDescent="0.3">
      <c r="A20" s="4">
        <v>46185.52383716435</v>
      </c>
      <c r="B20" s="4">
        <v>22</v>
      </c>
      <c r="C20" s="4" t="s">
        <v>22</v>
      </c>
      <c r="D20" s="4">
        <v>7.8</v>
      </c>
      <c r="E20" s="4" t="s">
        <v>37</v>
      </c>
      <c r="F20" s="4">
        <v>9.8000000000000007</v>
      </c>
      <c r="G20" s="4" t="s">
        <v>38</v>
      </c>
      <c r="H20" s="4"/>
      <c r="I20" s="4">
        <v>6.6</v>
      </c>
      <c r="J20" s="4">
        <v>5</v>
      </c>
      <c r="K20" s="4" t="s">
        <v>33</v>
      </c>
      <c r="L20" s="4" t="s">
        <v>25</v>
      </c>
      <c r="M20" s="4" t="s">
        <v>20</v>
      </c>
    </row>
    <row r="21" spans="1:13" ht="28.8" x14ac:dyDescent="0.3">
      <c r="A21" s="4">
        <v>46185.523904363421</v>
      </c>
      <c r="B21" s="4">
        <v>21</v>
      </c>
      <c r="C21" s="4" t="s">
        <v>14</v>
      </c>
      <c r="D21" s="4">
        <v>7.7</v>
      </c>
      <c r="E21" s="4" t="s">
        <v>42</v>
      </c>
      <c r="F21" s="4">
        <v>10.5</v>
      </c>
      <c r="G21" s="4" t="s">
        <v>24</v>
      </c>
      <c r="H21" s="4"/>
      <c r="I21" s="4">
        <v>4.7</v>
      </c>
      <c r="J21" s="4">
        <v>6</v>
      </c>
      <c r="K21" s="4" t="s">
        <v>33</v>
      </c>
      <c r="L21" s="4" t="s">
        <v>25</v>
      </c>
      <c r="M21" s="4" t="s">
        <v>20</v>
      </c>
    </row>
    <row r="22" spans="1:13" x14ac:dyDescent="0.3">
      <c r="A22" s="4">
        <v>46185.523973599542</v>
      </c>
      <c r="B22" s="4">
        <v>18</v>
      </c>
      <c r="C22" s="4" t="s">
        <v>22</v>
      </c>
      <c r="D22" s="4">
        <v>8</v>
      </c>
      <c r="E22" s="4" t="s">
        <v>42</v>
      </c>
      <c r="F22" s="4">
        <v>10.7</v>
      </c>
      <c r="G22" s="4" t="s">
        <v>43</v>
      </c>
      <c r="H22" s="4"/>
      <c r="I22" s="4">
        <v>3.6</v>
      </c>
      <c r="J22" s="4">
        <v>5</v>
      </c>
      <c r="K22" s="4" t="s">
        <v>33</v>
      </c>
      <c r="L22" s="4" t="s">
        <v>19</v>
      </c>
      <c r="M22" s="4" t="s">
        <v>20</v>
      </c>
    </row>
    <row r="23" spans="1:13" x14ac:dyDescent="0.3">
      <c r="A23" s="4">
        <v>46185.524042638892</v>
      </c>
      <c r="B23" s="4">
        <v>19</v>
      </c>
      <c r="C23" s="4" t="s">
        <v>14</v>
      </c>
      <c r="D23" s="4">
        <v>3.8</v>
      </c>
      <c r="E23" s="4" t="s">
        <v>37</v>
      </c>
      <c r="F23" s="4">
        <v>6.2</v>
      </c>
      <c r="G23" s="4" t="s">
        <v>28</v>
      </c>
      <c r="H23" s="4"/>
      <c r="I23" s="4">
        <v>3.4</v>
      </c>
      <c r="J23" s="4">
        <v>7</v>
      </c>
      <c r="K23" s="4" t="s">
        <v>18</v>
      </c>
      <c r="L23" s="4" t="s">
        <v>30</v>
      </c>
      <c r="M23" s="4" t="s">
        <v>30</v>
      </c>
    </row>
    <row r="24" spans="1:13" x14ac:dyDescent="0.3">
      <c r="A24" s="4">
        <v>46185.524086562495</v>
      </c>
      <c r="B24" s="4">
        <v>22</v>
      </c>
      <c r="C24" s="4" t="s">
        <v>22</v>
      </c>
      <c r="D24" s="4">
        <v>3</v>
      </c>
      <c r="E24" s="4" t="s">
        <v>34</v>
      </c>
      <c r="F24" s="4" t="s">
        <v>77</v>
      </c>
      <c r="G24" s="4" t="s">
        <v>28</v>
      </c>
      <c r="H24" s="4"/>
      <c r="I24" s="4">
        <v>2</v>
      </c>
      <c r="J24" s="4">
        <v>7</v>
      </c>
      <c r="K24" s="4" t="s">
        <v>39</v>
      </c>
      <c r="L24" s="4" t="s">
        <v>19</v>
      </c>
      <c r="M24" s="4" t="s">
        <v>20</v>
      </c>
    </row>
    <row r="25" spans="1:13" x14ac:dyDescent="0.3">
      <c r="A25" s="4">
        <v>46185.524109641206</v>
      </c>
      <c r="B25" s="4">
        <v>19</v>
      </c>
      <c r="C25" s="4" t="s">
        <v>22</v>
      </c>
      <c r="D25" s="4">
        <v>2.8</v>
      </c>
      <c r="E25" s="4" t="s">
        <v>44</v>
      </c>
      <c r="F25" s="4">
        <v>5.3</v>
      </c>
      <c r="G25" s="4" t="s">
        <v>43</v>
      </c>
      <c r="H25" s="4"/>
      <c r="I25" s="4">
        <v>1.1000000000000001</v>
      </c>
      <c r="J25" s="4">
        <v>7</v>
      </c>
      <c r="K25" s="4" t="s">
        <v>39</v>
      </c>
      <c r="L25" s="4" t="s">
        <v>19</v>
      </c>
      <c r="M25" s="4" t="s">
        <v>20</v>
      </c>
    </row>
    <row r="26" spans="1:13" x14ac:dyDescent="0.3">
      <c r="A26" s="4">
        <v>46185.524176539351</v>
      </c>
      <c r="B26" s="4">
        <v>21</v>
      </c>
      <c r="C26" s="4" t="s">
        <v>22</v>
      </c>
      <c r="D26" s="4">
        <v>2.2999999999999998</v>
      </c>
      <c r="E26" s="4" t="s">
        <v>42</v>
      </c>
      <c r="F26" s="4">
        <v>5</v>
      </c>
      <c r="G26" s="4" t="s">
        <v>28</v>
      </c>
      <c r="H26" s="4"/>
      <c r="I26" s="4">
        <v>1.8</v>
      </c>
      <c r="J26" s="4">
        <v>7</v>
      </c>
      <c r="K26" s="4" t="s">
        <v>18</v>
      </c>
      <c r="L26" s="4" t="s">
        <v>30</v>
      </c>
      <c r="M26" s="4" t="s">
        <v>30</v>
      </c>
    </row>
    <row r="27" spans="1:13" x14ac:dyDescent="0.3">
      <c r="A27" s="4">
        <v>46185.524243159722</v>
      </c>
      <c r="B27" s="4">
        <v>26</v>
      </c>
      <c r="C27" s="4" t="s">
        <v>14</v>
      </c>
      <c r="D27" s="4">
        <v>3.5</v>
      </c>
      <c r="E27" s="4" t="s">
        <v>34</v>
      </c>
      <c r="F27" s="4">
        <v>5.9</v>
      </c>
      <c r="G27" s="4" t="s">
        <v>43</v>
      </c>
      <c r="H27" s="4"/>
      <c r="I27" s="4">
        <v>2.6</v>
      </c>
      <c r="J27" s="4">
        <v>6</v>
      </c>
      <c r="K27" s="4" t="s">
        <v>18</v>
      </c>
      <c r="L27" s="4" t="s">
        <v>30</v>
      </c>
      <c r="M27" s="4" t="s">
        <v>20</v>
      </c>
    </row>
    <row r="28" spans="1:13" x14ac:dyDescent="0.3">
      <c r="A28" s="4">
        <v>46185.524313229165</v>
      </c>
      <c r="B28" s="4">
        <v>20</v>
      </c>
      <c r="C28" s="4" t="s">
        <v>22</v>
      </c>
      <c r="D28" s="4">
        <v>4.2</v>
      </c>
      <c r="E28" s="4" t="s">
        <v>34</v>
      </c>
      <c r="F28" s="4">
        <v>6.4</v>
      </c>
      <c r="G28" s="4" t="s">
        <v>32</v>
      </c>
      <c r="H28" s="4"/>
      <c r="I28" s="4">
        <v>2.4</v>
      </c>
      <c r="J28" s="4">
        <v>7</v>
      </c>
      <c r="K28" s="4" t="s">
        <v>18</v>
      </c>
      <c r="L28" s="4" t="s">
        <v>19</v>
      </c>
      <c r="M28" s="4" t="s">
        <v>36</v>
      </c>
    </row>
    <row r="29" spans="1:13" x14ac:dyDescent="0.3">
      <c r="A29" s="4">
        <v>46185.524380370371</v>
      </c>
      <c r="B29" s="4">
        <v>19</v>
      </c>
      <c r="C29" s="4" t="s">
        <v>22</v>
      </c>
      <c r="D29" s="4">
        <v>8.5</v>
      </c>
      <c r="E29" s="4" t="s">
        <v>15</v>
      </c>
      <c r="F29" s="4">
        <v>10.9</v>
      </c>
      <c r="G29" s="4" t="s">
        <v>32</v>
      </c>
      <c r="H29" s="4"/>
      <c r="I29" s="4">
        <v>2.9</v>
      </c>
      <c r="J29" s="4">
        <v>5</v>
      </c>
      <c r="K29" s="4" t="s">
        <v>33</v>
      </c>
      <c r="L29" s="4" t="s">
        <v>25</v>
      </c>
      <c r="M29" s="4" t="s">
        <v>20</v>
      </c>
    </row>
    <row r="30" spans="1:13" x14ac:dyDescent="0.3">
      <c r="A30" s="4">
        <v>46185.524449108794</v>
      </c>
      <c r="B30" s="4">
        <v>21</v>
      </c>
      <c r="C30" s="4" t="s">
        <v>22</v>
      </c>
      <c r="D30" s="4">
        <v>4.0999999999999996</v>
      </c>
      <c r="E30" s="4" t="s">
        <v>23</v>
      </c>
      <c r="F30" s="4">
        <v>5.8</v>
      </c>
      <c r="G30" s="4" t="s">
        <v>28</v>
      </c>
      <c r="H30" s="4"/>
      <c r="I30" s="4">
        <v>3.7</v>
      </c>
      <c r="J30" s="4">
        <v>6</v>
      </c>
      <c r="K30" s="4" t="s">
        <v>18</v>
      </c>
      <c r="L30" s="4" t="s">
        <v>30</v>
      </c>
      <c r="M30" s="4" t="s">
        <v>30</v>
      </c>
    </row>
    <row r="31" spans="1:13" x14ac:dyDescent="0.3">
      <c r="A31" s="4">
        <v>46185.52453707176</v>
      </c>
      <c r="B31" s="4">
        <v>20</v>
      </c>
      <c r="C31" s="4" t="s">
        <v>22</v>
      </c>
      <c r="D31" s="4">
        <v>6.3</v>
      </c>
      <c r="E31" s="4" t="s">
        <v>23</v>
      </c>
      <c r="F31" s="4">
        <v>8.5</v>
      </c>
      <c r="G31" s="4" t="s">
        <v>32</v>
      </c>
      <c r="H31" s="4"/>
      <c r="I31" s="4">
        <v>4.2</v>
      </c>
      <c r="J31" s="4">
        <v>5</v>
      </c>
      <c r="K31" s="4" t="s">
        <v>18</v>
      </c>
      <c r="L31" s="4" t="s">
        <v>19</v>
      </c>
      <c r="M31" s="4" t="s">
        <v>30</v>
      </c>
    </row>
    <row r="32" spans="1:13" x14ac:dyDescent="0.3">
      <c r="A32" s="4">
        <v>46185.524605590283</v>
      </c>
      <c r="B32" s="4">
        <v>24</v>
      </c>
      <c r="C32" s="4" t="s">
        <v>22</v>
      </c>
      <c r="D32" s="4">
        <v>6.2</v>
      </c>
      <c r="E32" s="4" t="s">
        <v>37</v>
      </c>
      <c r="F32" s="4">
        <v>7.8</v>
      </c>
      <c r="G32" s="4" t="s">
        <v>28</v>
      </c>
      <c r="H32" s="4"/>
      <c r="I32" s="4">
        <v>5.3</v>
      </c>
      <c r="J32" s="4">
        <v>6</v>
      </c>
      <c r="K32" s="4" t="s">
        <v>18</v>
      </c>
      <c r="L32" s="4" t="s">
        <v>30</v>
      </c>
      <c r="M32" s="4" t="s">
        <v>20</v>
      </c>
    </row>
    <row r="33" spans="1:13" x14ac:dyDescent="0.3">
      <c r="A33" s="4">
        <v>46185.524672766202</v>
      </c>
      <c r="B33" s="4">
        <v>28</v>
      </c>
      <c r="C33" s="4" t="s">
        <v>14</v>
      </c>
      <c r="D33" s="4">
        <v>6.6</v>
      </c>
      <c r="E33" s="4" t="s">
        <v>23</v>
      </c>
      <c r="F33" s="4">
        <v>9.4</v>
      </c>
      <c r="G33" s="4" t="s">
        <v>38</v>
      </c>
      <c r="H33" s="4"/>
      <c r="I33" s="4">
        <v>3.6</v>
      </c>
      <c r="J33" s="4">
        <v>5</v>
      </c>
      <c r="K33" s="4" t="s">
        <v>39</v>
      </c>
      <c r="L33" s="4" t="s">
        <v>19</v>
      </c>
      <c r="M33" s="4" t="s">
        <v>20</v>
      </c>
    </row>
    <row r="34" spans="1:13" x14ac:dyDescent="0.3">
      <c r="A34" s="4">
        <v>46185.524745497685</v>
      </c>
      <c r="B34" s="4">
        <v>17</v>
      </c>
      <c r="C34" s="4" t="s">
        <v>14</v>
      </c>
      <c r="D34" s="4">
        <v>8.1999999999999993</v>
      </c>
      <c r="E34" s="4" t="s">
        <v>15</v>
      </c>
      <c r="F34" s="4">
        <v>10</v>
      </c>
      <c r="G34" s="4" t="s">
        <v>28</v>
      </c>
      <c r="H34" s="4"/>
      <c r="I34" s="4">
        <v>3.2</v>
      </c>
      <c r="J34" s="4">
        <v>5</v>
      </c>
      <c r="K34" s="4" t="s">
        <v>39</v>
      </c>
      <c r="L34" s="4" t="s">
        <v>19</v>
      </c>
      <c r="M34" s="4" t="s">
        <v>36</v>
      </c>
    </row>
    <row r="35" spans="1:13" x14ac:dyDescent="0.3">
      <c r="A35" s="4">
        <v>46185.524811435185</v>
      </c>
      <c r="B35" s="4">
        <v>28</v>
      </c>
      <c r="C35" s="4" t="s">
        <v>22</v>
      </c>
      <c r="D35" s="4">
        <v>4.9000000000000004</v>
      </c>
      <c r="E35" s="4" t="s">
        <v>23</v>
      </c>
      <c r="F35" s="4">
        <v>7.1</v>
      </c>
      <c r="G35" s="4" t="s">
        <v>28</v>
      </c>
      <c r="H35" s="4"/>
      <c r="I35" s="4">
        <v>1.4</v>
      </c>
      <c r="J35" s="4">
        <v>7</v>
      </c>
      <c r="K35" s="4" t="s">
        <v>18</v>
      </c>
      <c r="L35" s="4" t="s">
        <v>30</v>
      </c>
      <c r="M35" s="4" t="s">
        <v>36</v>
      </c>
    </row>
    <row r="36" spans="1:13" ht="28.8" x14ac:dyDescent="0.3">
      <c r="A36" s="4">
        <v>46185.524878263888</v>
      </c>
      <c r="B36" s="4">
        <v>28</v>
      </c>
      <c r="C36" s="4" t="s">
        <v>14</v>
      </c>
      <c r="D36" s="4">
        <v>6.6</v>
      </c>
      <c r="E36" s="4" t="s">
        <v>34</v>
      </c>
      <c r="F36" s="4">
        <v>8.9</v>
      </c>
      <c r="G36" s="4" t="s">
        <v>24</v>
      </c>
      <c r="H36" s="4"/>
      <c r="I36" s="4">
        <v>2.5</v>
      </c>
      <c r="J36" s="4">
        <v>5</v>
      </c>
      <c r="K36" s="4" t="s">
        <v>18</v>
      </c>
      <c r="L36" s="4" t="s">
        <v>45</v>
      </c>
      <c r="M36" s="4" t="s">
        <v>20</v>
      </c>
    </row>
    <row r="37" spans="1:13" x14ac:dyDescent="0.3">
      <c r="A37" s="4">
        <v>46185.524944513891</v>
      </c>
      <c r="B37" s="4">
        <v>18</v>
      </c>
      <c r="C37" s="4" t="s">
        <v>22</v>
      </c>
      <c r="D37" s="4">
        <v>3.6</v>
      </c>
      <c r="E37" s="4" t="s">
        <v>23</v>
      </c>
      <c r="F37" s="4">
        <v>5.2</v>
      </c>
      <c r="G37" s="4" t="s">
        <v>38</v>
      </c>
      <c r="H37" s="4"/>
      <c r="I37" s="4">
        <v>2</v>
      </c>
      <c r="J37" s="4">
        <v>6</v>
      </c>
      <c r="K37" s="4" t="s">
        <v>39</v>
      </c>
      <c r="L37" s="4" t="s">
        <v>30</v>
      </c>
      <c r="M37" s="4" t="s">
        <v>36</v>
      </c>
    </row>
    <row r="38" spans="1:13" x14ac:dyDescent="0.3">
      <c r="A38" s="4">
        <v>46185.525011458332</v>
      </c>
      <c r="B38" s="4">
        <v>18</v>
      </c>
      <c r="C38" s="4" t="s">
        <v>14</v>
      </c>
      <c r="D38" s="4">
        <v>3.1</v>
      </c>
      <c r="E38" s="4" t="s">
        <v>27</v>
      </c>
      <c r="F38" s="4">
        <v>6</v>
      </c>
      <c r="G38" s="4" t="s">
        <v>46</v>
      </c>
      <c r="H38" s="4"/>
      <c r="I38" s="4">
        <v>2.6</v>
      </c>
      <c r="J38" s="4">
        <v>7</v>
      </c>
      <c r="K38" s="4" t="s">
        <v>29</v>
      </c>
      <c r="L38" s="4" t="s">
        <v>30</v>
      </c>
      <c r="M38" s="4" t="s">
        <v>36</v>
      </c>
    </row>
    <row r="39" spans="1:13" ht="28.8" x14ac:dyDescent="0.3">
      <c r="A39" s="4">
        <v>46185.525081273146</v>
      </c>
      <c r="B39" s="4">
        <v>19</v>
      </c>
      <c r="C39" s="4" t="s">
        <v>22</v>
      </c>
      <c r="D39" s="4">
        <v>7</v>
      </c>
      <c r="E39" s="4" t="s">
        <v>15</v>
      </c>
      <c r="F39" s="4">
        <v>8.1</v>
      </c>
      <c r="G39" s="4" t="s">
        <v>24</v>
      </c>
      <c r="H39" s="4"/>
      <c r="I39" s="4">
        <v>2.6</v>
      </c>
      <c r="J39" s="4">
        <v>6</v>
      </c>
      <c r="K39" s="4" t="s">
        <v>33</v>
      </c>
      <c r="L39" s="4" t="s">
        <v>25</v>
      </c>
      <c r="M39" s="4" t="s">
        <v>36</v>
      </c>
    </row>
    <row r="40" spans="1:13" x14ac:dyDescent="0.3">
      <c r="A40" s="4">
        <v>46185.525148321758</v>
      </c>
      <c r="B40" s="4">
        <v>20</v>
      </c>
      <c r="C40" s="4" t="s">
        <v>14</v>
      </c>
      <c r="D40" s="4">
        <v>5.6</v>
      </c>
      <c r="E40" s="4" t="s">
        <v>42</v>
      </c>
      <c r="F40" s="4">
        <v>8.6</v>
      </c>
      <c r="G40" s="4" t="s">
        <v>38</v>
      </c>
      <c r="H40" s="4"/>
      <c r="I40" s="4">
        <v>5.0999999999999996</v>
      </c>
      <c r="J40" s="4">
        <v>7</v>
      </c>
      <c r="K40" s="4" t="s">
        <v>33</v>
      </c>
      <c r="L40" s="4" t="s">
        <v>30</v>
      </c>
      <c r="M40" s="4" t="s">
        <v>36</v>
      </c>
    </row>
    <row r="41" spans="1:13" x14ac:dyDescent="0.3">
      <c r="A41" s="4">
        <v>46185.525213530098</v>
      </c>
      <c r="B41" s="4">
        <v>26</v>
      </c>
      <c r="C41" s="4" t="s">
        <v>14</v>
      </c>
      <c r="D41" s="4">
        <v>6.6</v>
      </c>
      <c r="E41" s="4" t="s">
        <v>42</v>
      </c>
      <c r="F41" s="4">
        <v>8.6999999999999993</v>
      </c>
      <c r="G41" s="4" t="s">
        <v>28</v>
      </c>
      <c r="H41" s="4"/>
      <c r="I41" s="4">
        <v>1.9</v>
      </c>
      <c r="J41" s="4">
        <v>6</v>
      </c>
      <c r="K41" s="4" t="s">
        <v>18</v>
      </c>
      <c r="L41" s="4" t="s">
        <v>19</v>
      </c>
      <c r="M41" s="4" t="s">
        <v>36</v>
      </c>
    </row>
    <row r="42" spans="1:13" x14ac:dyDescent="0.3">
      <c r="A42" s="4">
        <v>46185.525278668982</v>
      </c>
      <c r="B42" s="4">
        <v>19</v>
      </c>
      <c r="C42" s="4" t="s">
        <v>14</v>
      </c>
      <c r="D42" s="4">
        <v>8.3000000000000007</v>
      </c>
      <c r="E42" s="4" t="s">
        <v>37</v>
      </c>
      <c r="F42" s="4">
        <v>9.1999999999999993</v>
      </c>
      <c r="G42" s="4" t="s">
        <v>32</v>
      </c>
      <c r="H42" s="4"/>
      <c r="I42" s="4">
        <v>6.2</v>
      </c>
      <c r="J42" s="4">
        <v>4</v>
      </c>
      <c r="K42" s="4" t="s">
        <v>33</v>
      </c>
      <c r="L42" s="4" t="s">
        <v>19</v>
      </c>
      <c r="M42" s="4" t="s">
        <v>36</v>
      </c>
    </row>
    <row r="43" spans="1:13" x14ac:dyDescent="0.3">
      <c r="A43" s="4">
        <v>46185.525345254631</v>
      </c>
      <c r="B43" s="4">
        <v>21</v>
      </c>
      <c r="C43" s="4" t="s">
        <v>40</v>
      </c>
      <c r="D43" s="4">
        <v>5.2</v>
      </c>
      <c r="E43" s="4" t="s">
        <v>42</v>
      </c>
      <c r="F43" s="4">
        <v>7.8</v>
      </c>
      <c r="G43" s="4" t="s">
        <v>28</v>
      </c>
      <c r="H43" s="4"/>
      <c r="I43" s="4">
        <v>2.6</v>
      </c>
      <c r="J43" s="4">
        <v>5</v>
      </c>
      <c r="K43" s="4" t="s">
        <v>18</v>
      </c>
      <c r="L43" s="4" t="s">
        <v>30</v>
      </c>
      <c r="M43" s="4" t="s">
        <v>36</v>
      </c>
    </row>
    <row r="44" spans="1:13" x14ac:dyDescent="0.3">
      <c r="A44" s="4">
        <v>46185.525410972223</v>
      </c>
      <c r="B44" s="4">
        <v>23</v>
      </c>
      <c r="C44" s="4" t="s">
        <v>22</v>
      </c>
      <c r="D44" s="4">
        <v>3.9</v>
      </c>
      <c r="E44" s="4" t="s">
        <v>23</v>
      </c>
      <c r="F44" s="4">
        <v>4.8</v>
      </c>
      <c r="G44" s="4" t="s">
        <v>47</v>
      </c>
      <c r="H44" s="4"/>
      <c r="I44" s="4">
        <v>2.2000000000000002</v>
      </c>
      <c r="J44" s="4">
        <v>7</v>
      </c>
      <c r="K44" s="4" t="s">
        <v>33</v>
      </c>
      <c r="L44" s="4" t="s">
        <v>30</v>
      </c>
      <c r="M44" s="4" t="s">
        <v>45</v>
      </c>
    </row>
    <row r="45" spans="1:13" x14ac:dyDescent="0.3">
      <c r="A45" s="4">
        <v>46185.525479201387</v>
      </c>
      <c r="B45" s="4">
        <v>19</v>
      </c>
      <c r="C45" s="4" t="s">
        <v>14</v>
      </c>
      <c r="D45" s="4">
        <v>7.9</v>
      </c>
      <c r="E45" s="4" t="s">
        <v>27</v>
      </c>
      <c r="F45" s="4">
        <v>9.1</v>
      </c>
      <c r="G45" s="4" t="s">
        <v>32</v>
      </c>
      <c r="H45" s="4"/>
      <c r="I45" s="4">
        <v>5.5</v>
      </c>
      <c r="J45" s="4">
        <v>4</v>
      </c>
      <c r="K45" s="4" t="s">
        <v>33</v>
      </c>
      <c r="L45" s="4" t="s">
        <v>19</v>
      </c>
      <c r="M45" s="4" t="s">
        <v>36</v>
      </c>
    </row>
    <row r="46" spans="1:13" x14ac:dyDescent="0.3">
      <c r="A46" s="4">
        <v>46185.525546863428</v>
      </c>
      <c r="B46" s="4">
        <v>31</v>
      </c>
      <c r="C46" s="4" t="s">
        <v>14</v>
      </c>
      <c r="D46" s="4">
        <v>7.4</v>
      </c>
      <c r="E46" s="4" t="s">
        <v>34</v>
      </c>
      <c r="F46" s="4">
        <v>10.1</v>
      </c>
      <c r="G46" s="4" t="s">
        <v>28</v>
      </c>
      <c r="H46" s="4"/>
      <c r="I46" s="4">
        <v>5.4</v>
      </c>
      <c r="J46" s="4">
        <v>5</v>
      </c>
      <c r="K46" s="4" t="s">
        <v>33</v>
      </c>
      <c r="L46" s="4" t="s">
        <v>19</v>
      </c>
      <c r="M46" s="4" t="s">
        <v>20</v>
      </c>
    </row>
    <row r="47" spans="1:13" x14ac:dyDescent="0.3">
      <c r="A47" s="4">
        <v>46185.525611562502</v>
      </c>
      <c r="B47" s="4">
        <v>20</v>
      </c>
      <c r="C47" s="4" t="s">
        <v>22</v>
      </c>
      <c r="D47" s="4">
        <v>7.8</v>
      </c>
      <c r="E47" s="4" t="s">
        <v>44</v>
      </c>
      <c r="F47" s="4">
        <v>10.9</v>
      </c>
      <c r="G47" s="4" t="s">
        <v>32</v>
      </c>
      <c r="H47" s="4"/>
      <c r="I47" s="4">
        <v>7.2</v>
      </c>
      <c r="J47" s="4">
        <v>4</v>
      </c>
      <c r="K47" s="4" t="s">
        <v>18</v>
      </c>
      <c r="L47" s="4" t="s">
        <v>19</v>
      </c>
      <c r="M47" s="4" t="s">
        <v>20</v>
      </c>
    </row>
    <row r="48" spans="1:13" x14ac:dyDescent="0.3">
      <c r="A48" s="4">
        <v>46185.525677418977</v>
      </c>
      <c r="B48" s="4">
        <v>30</v>
      </c>
      <c r="C48" s="4" t="s">
        <v>14</v>
      </c>
      <c r="D48" s="4">
        <v>6.3</v>
      </c>
      <c r="E48" s="4" t="s">
        <v>23</v>
      </c>
      <c r="F48" s="4">
        <v>8.1999999999999993</v>
      </c>
      <c r="G48" s="4" t="s">
        <v>41</v>
      </c>
      <c r="H48" s="4"/>
      <c r="I48" s="4">
        <v>2.4</v>
      </c>
      <c r="J48" s="4">
        <v>5</v>
      </c>
      <c r="K48" s="4" t="s">
        <v>18</v>
      </c>
      <c r="L48" s="4" t="s">
        <v>25</v>
      </c>
      <c r="M48" s="4" t="s">
        <v>30</v>
      </c>
    </row>
    <row r="49" spans="1:13" x14ac:dyDescent="0.3">
      <c r="A49" s="4">
        <v>46185.525743506943</v>
      </c>
      <c r="B49" s="4">
        <v>20</v>
      </c>
      <c r="C49" s="4" t="s">
        <v>22</v>
      </c>
      <c r="D49" s="4">
        <v>6.8</v>
      </c>
      <c r="E49" s="4" t="s">
        <v>42</v>
      </c>
      <c r="F49" s="4">
        <v>8</v>
      </c>
      <c r="G49" s="4" t="s">
        <v>43</v>
      </c>
      <c r="H49" s="4"/>
      <c r="I49" s="4">
        <v>4.9000000000000004</v>
      </c>
      <c r="J49" s="4">
        <v>5</v>
      </c>
      <c r="K49" s="4" t="s">
        <v>33</v>
      </c>
      <c r="L49" s="4" t="s">
        <v>19</v>
      </c>
      <c r="M49" s="4" t="s">
        <v>20</v>
      </c>
    </row>
    <row r="50" spans="1:13" ht="28.8" x14ac:dyDescent="0.3">
      <c r="A50" s="4">
        <v>46185.525809560189</v>
      </c>
      <c r="B50" s="4">
        <v>20</v>
      </c>
      <c r="C50" s="4" t="s">
        <v>22</v>
      </c>
      <c r="D50" s="4">
        <v>7</v>
      </c>
      <c r="E50" s="4" t="s">
        <v>44</v>
      </c>
      <c r="F50" s="4">
        <v>8.5</v>
      </c>
      <c r="G50" s="4" t="s">
        <v>24</v>
      </c>
      <c r="H50" s="4"/>
      <c r="I50" s="4">
        <v>5.9</v>
      </c>
      <c r="J50" s="4">
        <v>5</v>
      </c>
      <c r="K50" s="4" t="s">
        <v>39</v>
      </c>
      <c r="L50" s="4" t="s">
        <v>30</v>
      </c>
      <c r="M50" s="4" t="s">
        <v>20</v>
      </c>
    </row>
    <row r="51" spans="1:13" x14ac:dyDescent="0.3">
      <c r="A51" s="4">
        <v>46185.525877210646</v>
      </c>
      <c r="B51" s="4">
        <v>31</v>
      </c>
      <c r="C51" s="4" t="s">
        <v>22</v>
      </c>
      <c r="D51" s="4">
        <v>4.8</v>
      </c>
      <c r="E51" s="4" t="s">
        <v>27</v>
      </c>
      <c r="F51" s="4">
        <v>6.4</v>
      </c>
      <c r="G51" s="4" t="s">
        <v>38</v>
      </c>
      <c r="H51" s="4"/>
      <c r="I51" s="4">
        <v>2.8</v>
      </c>
      <c r="J51" s="4">
        <v>5</v>
      </c>
      <c r="K51" s="4" t="s">
        <v>33</v>
      </c>
      <c r="L51" s="4" t="s">
        <v>30</v>
      </c>
      <c r="M51" s="4" t="s">
        <v>36</v>
      </c>
    </row>
    <row r="52" spans="1:13" x14ac:dyDescent="0.3">
      <c r="A52" s="4">
        <v>46185.525945196758</v>
      </c>
      <c r="B52" s="4">
        <v>20</v>
      </c>
      <c r="C52" s="4" t="s">
        <v>22</v>
      </c>
      <c r="D52" s="4">
        <v>6</v>
      </c>
      <c r="E52" s="4" t="s">
        <v>37</v>
      </c>
      <c r="F52" s="4">
        <v>8.5</v>
      </c>
      <c r="G52" s="4" t="s">
        <v>38</v>
      </c>
      <c r="H52" s="4"/>
      <c r="I52" s="4">
        <v>3.3</v>
      </c>
      <c r="J52" s="4">
        <v>6</v>
      </c>
      <c r="K52" s="4" t="s">
        <v>33</v>
      </c>
      <c r="L52" s="4" t="s">
        <v>19</v>
      </c>
      <c r="M52" s="4" t="s">
        <v>30</v>
      </c>
    </row>
    <row r="53" spans="1:13" x14ac:dyDescent="0.3">
      <c r="A53" s="4">
        <v>46185.526013182869</v>
      </c>
      <c r="B53" s="4">
        <v>17</v>
      </c>
      <c r="C53" s="4" t="s">
        <v>22</v>
      </c>
      <c r="D53" s="4">
        <v>7.9</v>
      </c>
      <c r="E53" s="4" t="s">
        <v>27</v>
      </c>
      <c r="F53" s="4">
        <v>11</v>
      </c>
      <c r="G53" s="4" t="s">
        <v>43</v>
      </c>
      <c r="H53" s="4"/>
      <c r="I53" s="4">
        <v>7.8</v>
      </c>
      <c r="J53" s="4">
        <v>4</v>
      </c>
      <c r="K53" s="4" t="s">
        <v>33</v>
      </c>
      <c r="L53" s="4" t="s">
        <v>19</v>
      </c>
      <c r="M53" s="4" t="s">
        <v>20</v>
      </c>
    </row>
    <row r="54" spans="1:13" x14ac:dyDescent="0.3">
      <c r="A54" s="4">
        <v>46185.526080289354</v>
      </c>
      <c r="B54" s="4">
        <v>30</v>
      </c>
      <c r="C54" s="4" t="s">
        <v>14</v>
      </c>
      <c r="D54" s="4">
        <v>3.8</v>
      </c>
      <c r="E54" s="4" t="s">
        <v>23</v>
      </c>
      <c r="F54" s="4">
        <v>6.6</v>
      </c>
      <c r="G54" s="4" t="s">
        <v>28</v>
      </c>
      <c r="H54" s="4"/>
      <c r="I54" s="4">
        <v>3.3</v>
      </c>
      <c r="J54" s="4">
        <v>6</v>
      </c>
      <c r="K54" s="4" t="s">
        <v>18</v>
      </c>
      <c r="L54" s="4" t="s">
        <v>25</v>
      </c>
      <c r="M54" s="4" t="s">
        <v>20</v>
      </c>
    </row>
    <row r="55" spans="1:13" x14ac:dyDescent="0.3">
      <c r="A55" s="4">
        <v>46185.52614563657</v>
      </c>
      <c r="B55" s="4">
        <v>21</v>
      </c>
      <c r="C55" s="4" t="s">
        <v>22</v>
      </c>
      <c r="D55" s="4">
        <v>4.8</v>
      </c>
      <c r="E55" s="4" t="s">
        <v>42</v>
      </c>
      <c r="F55" s="4">
        <v>5.9</v>
      </c>
      <c r="G55" s="4" t="s">
        <v>35</v>
      </c>
      <c r="H55" s="4"/>
      <c r="I55" s="4">
        <v>1</v>
      </c>
      <c r="J55" s="4">
        <v>8</v>
      </c>
      <c r="K55" s="4" t="s">
        <v>18</v>
      </c>
      <c r="L55" s="4" t="s">
        <v>25</v>
      </c>
      <c r="M55" s="4" t="s">
        <v>20</v>
      </c>
    </row>
    <row r="56" spans="1:13" x14ac:dyDescent="0.3">
      <c r="A56" s="4">
        <v>46185.526212916666</v>
      </c>
      <c r="B56" s="4">
        <v>19</v>
      </c>
      <c r="C56" s="4" t="s">
        <v>22</v>
      </c>
      <c r="D56" s="4">
        <v>6</v>
      </c>
      <c r="E56" s="4" t="s">
        <v>23</v>
      </c>
      <c r="F56" s="4">
        <v>9</v>
      </c>
      <c r="G56" s="4" t="s">
        <v>43</v>
      </c>
      <c r="H56" s="4"/>
      <c r="I56" s="4">
        <v>3.5</v>
      </c>
      <c r="J56" s="4">
        <v>6</v>
      </c>
      <c r="K56" s="4" t="s">
        <v>18</v>
      </c>
      <c r="L56" s="4" t="s">
        <v>30</v>
      </c>
      <c r="M56" s="4" t="s">
        <v>20</v>
      </c>
    </row>
    <row r="57" spans="1:13" x14ac:dyDescent="0.3">
      <c r="A57" s="4">
        <v>46185.526282013889</v>
      </c>
      <c r="B57" s="4">
        <v>21</v>
      </c>
      <c r="C57" s="4" t="s">
        <v>14</v>
      </c>
      <c r="D57" s="4">
        <v>2.5</v>
      </c>
      <c r="E57" s="4" t="s">
        <v>42</v>
      </c>
      <c r="F57" s="4">
        <v>3.9</v>
      </c>
      <c r="G57" s="4" t="s">
        <v>32</v>
      </c>
      <c r="H57" s="4"/>
      <c r="I57" s="4">
        <v>1.1000000000000001</v>
      </c>
      <c r="J57" s="4">
        <v>9</v>
      </c>
      <c r="K57" s="4" t="s">
        <v>39</v>
      </c>
      <c r="L57" s="4" t="s">
        <v>19</v>
      </c>
      <c r="M57" s="4" t="s">
        <v>36</v>
      </c>
    </row>
    <row r="58" spans="1:13" x14ac:dyDescent="0.3">
      <c r="A58" s="4">
        <v>46185.526351736116</v>
      </c>
      <c r="B58" s="4">
        <v>18</v>
      </c>
      <c r="C58" s="4" t="s">
        <v>14</v>
      </c>
      <c r="D58" s="4">
        <v>3.5</v>
      </c>
      <c r="E58" s="4" t="s">
        <v>23</v>
      </c>
      <c r="F58" s="4">
        <v>4.3</v>
      </c>
      <c r="G58" s="4" t="s">
        <v>47</v>
      </c>
      <c r="H58" s="4"/>
      <c r="I58" s="4">
        <v>2.4</v>
      </c>
      <c r="J58" s="4">
        <v>7</v>
      </c>
      <c r="K58" s="4" t="s">
        <v>39</v>
      </c>
      <c r="L58" s="4" t="s">
        <v>19</v>
      </c>
      <c r="M58" s="4" t="s">
        <v>20</v>
      </c>
    </row>
    <row r="59" spans="1:13" ht="28.8" x14ac:dyDescent="0.3">
      <c r="A59" s="4">
        <v>46185.526424085649</v>
      </c>
      <c r="B59" s="4">
        <v>20</v>
      </c>
      <c r="C59" s="4" t="s">
        <v>22</v>
      </c>
      <c r="D59" s="4">
        <v>3.2</v>
      </c>
      <c r="E59" s="4" t="s">
        <v>37</v>
      </c>
      <c r="F59" s="4">
        <v>5.9</v>
      </c>
      <c r="G59" s="4" t="s">
        <v>24</v>
      </c>
      <c r="H59" s="4"/>
      <c r="I59" s="4">
        <v>1.8</v>
      </c>
      <c r="J59" s="4">
        <v>7</v>
      </c>
      <c r="K59" s="4" t="s">
        <v>29</v>
      </c>
      <c r="L59" s="4" t="s">
        <v>30</v>
      </c>
      <c r="M59" s="4" t="s">
        <v>36</v>
      </c>
    </row>
    <row r="60" spans="1:13" x14ac:dyDescent="0.3">
      <c r="A60" s="4">
        <v>46185.526492407407</v>
      </c>
      <c r="B60" s="4">
        <v>22</v>
      </c>
      <c r="C60" s="4" t="s">
        <v>22</v>
      </c>
      <c r="D60" s="4">
        <v>2.2999999999999998</v>
      </c>
      <c r="E60" s="4" t="s">
        <v>42</v>
      </c>
      <c r="F60" s="4">
        <v>4.5999999999999996</v>
      </c>
      <c r="G60" s="4" t="s">
        <v>43</v>
      </c>
      <c r="H60" s="4"/>
      <c r="I60" s="4">
        <v>1.2</v>
      </c>
      <c r="J60" s="4">
        <v>9</v>
      </c>
      <c r="K60" s="4" t="s">
        <v>39</v>
      </c>
      <c r="L60" s="4" t="s">
        <v>19</v>
      </c>
      <c r="M60" s="4" t="s">
        <v>45</v>
      </c>
    </row>
    <row r="61" spans="1:13" x14ac:dyDescent="0.3">
      <c r="A61" s="4">
        <v>46185.526560694445</v>
      </c>
      <c r="B61" s="4">
        <v>23</v>
      </c>
      <c r="C61" s="4" t="s">
        <v>22</v>
      </c>
      <c r="D61" s="4">
        <v>3.5</v>
      </c>
      <c r="E61" s="4" t="s">
        <v>42</v>
      </c>
      <c r="F61" s="4">
        <v>5.0999999999999996</v>
      </c>
      <c r="G61" s="4" t="s">
        <v>28</v>
      </c>
      <c r="H61" s="4"/>
      <c r="I61" s="4">
        <v>3.1</v>
      </c>
      <c r="J61" s="4">
        <v>6</v>
      </c>
      <c r="K61" s="4" t="s">
        <v>33</v>
      </c>
      <c r="L61" s="4" t="s">
        <v>30</v>
      </c>
      <c r="M61" s="4" t="s">
        <v>36</v>
      </c>
    </row>
    <row r="62" spans="1:13" x14ac:dyDescent="0.3">
      <c r="A62" s="4">
        <v>46185.526631562505</v>
      </c>
      <c r="B62" s="4">
        <v>18</v>
      </c>
      <c r="C62" s="4" t="s">
        <v>22</v>
      </c>
      <c r="D62" s="4">
        <v>4.7</v>
      </c>
      <c r="E62" s="4" t="s">
        <v>34</v>
      </c>
      <c r="F62" s="4">
        <v>7.4</v>
      </c>
      <c r="G62" s="4" t="s">
        <v>28</v>
      </c>
      <c r="H62" s="4"/>
      <c r="I62" s="4">
        <v>2.4</v>
      </c>
      <c r="J62" s="4">
        <v>6</v>
      </c>
      <c r="K62" s="4" t="s">
        <v>18</v>
      </c>
      <c r="L62" s="4" t="s">
        <v>19</v>
      </c>
      <c r="M62" s="4" t="s">
        <v>30</v>
      </c>
    </row>
    <row r="63" spans="1:13" x14ac:dyDescent="0.3">
      <c r="A63" s="4">
        <v>46185.526699108799</v>
      </c>
      <c r="B63" s="4">
        <v>20</v>
      </c>
      <c r="C63" s="4" t="s">
        <v>14</v>
      </c>
      <c r="D63" s="4">
        <v>3.8</v>
      </c>
      <c r="E63" s="4" t="s">
        <v>42</v>
      </c>
      <c r="F63" s="4">
        <v>6.5</v>
      </c>
      <c r="G63" s="4" t="s">
        <v>43</v>
      </c>
      <c r="H63" s="4"/>
      <c r="I63" s="4">
        <v>1.3</v>
      </c>
      <c r="J63" s="4">
        <v>8</v>
      </c>
      <c r="K63" s="4" t="s">
        <v>18</v>
      </c>
      <c r="L63" s="4" t="s">
        <v>45</v>
      </c>
      <c r="M63" s="4" t="s">
        <v>20</v>
      </c>
    </row>
    <row r="64" spans="1:13" x14ac:dyDescent="0.3">
      <c r="A64" s="4">
        <v>46185.526771006946</v>
      </c>
      <c r="B64" s="4">
        <v>19</v>
      </c>
      <c r="C64" s="4" t="s">
        <v>14</v>
      </c>
      <c r="D64" s="4">
        <v>2.9</v>
      </c>
      <c r="E64" s="4" t="s">
        <v>37</v>
      </c>
      <c r="F64" s="4">
        <v>3.8</v>
      </c>
      <c r="G64" s="4" t="s">
        <v>28</v>
      </c>
      <c r="H64" s="4"/>
      <c r="I64" s="4">
        <v>1.1000000000000001</v>
      </c>
      <c r="J64" s="4">
        <v>9</v>
      </c>
      <c r="K64" s="4" t="s">
        <v>18</v>
      </c>
      <c r="L64" s="4" t="s">
        <v>19</v>
      </c>
      <c r="M64" s="4" t="s">
        <v>20</v>
      </c>
    </row>
    <row r="65" spans="1:13" x14ac:dyDescent="0.3">
      <c r="A65" s="4">
        <v>46185.526838171296</v>
      </c>
      <c r="B65" s="4">
        <v>23</v>
      </c>
      <c r="C65" s="4" t="s">
        <v>22</v>
      </c>
      <c r="D65" s="4">
        <v>6.6</v>
      </c>
      <c r="E65" s="4" t="s">
        <v>23</v>
      </c>
      <c r="F65" s="4">
        <v>8.3000000000000007</v>
      </c>
      <c r="G65" s="4" t="s">
        <v>38</v>
      </c>
      <c r="H65" s="4"/>
      <c r="I65" s="4">
        <v>1.4</v>
      </c>
      <c r="J65" s="4">
        <v>6</v>
      </c>
      <c r="K65" s="4" t="s">
        <v>39</v>
      </c>
      <c r="L65" s="4" t="s">
        <v>30</v>
      </c>
      <c r="M65" s="4" t="s">
        <v>36</v>
      </c>
    </row>
    <row r="66" spans="1:13" x14ac:dyDescent="0.3">
      <c r="A66" s="4">
        <v>46185.526910868051</v>
      </c>
      <c r="B66" s="4">
        <v>20</v>
      </c>
      <c r="C66" s="4" t="s">
        <v>22</v>
      </c>
      <c r="D66" s="4">
        <v>8.3000000000000007</v>
      </c>
      <c r="E66" s="4" t="s">
        <v>42</v>
      </c>
      <c r="F66" s="4">
        <v>11.4</v>
      </c>
      <c r="G66" s="4" t="s">
        <v>43</v>
      </c>
      <c r="H66" s="4"/>
      <c r="I66" s="4">
        <v>1.5</v>
      </c>
      <c r="J66" s="4">
        <v>6</v>
      </c>
      <c r="K66" s="4" t="s">
        <v>39</v>
      </c>
      <c r="L66" s="4" t="s">
        <v>30</v>
      </c>
      <c r="M66" s="4" t="s">
        <v>20</v>
      </c>
    </row>
    <row r="67" spans="1:13" x14ac:dyDescent="0.3">
      <c r="A67" s="4">
        <v>46185.52698303241</v>
      </c>
      <c r="B67" s="4">
        <v>17</v>
      </c>
      <c r="C67" s="4" t="s">
        <v>22</v>
      </c>
      <c r="D67" s="4">
        <v>4.7</v>
      </c>
      <c r="E67" s="4" t="s">
        <v>42</v>
      </c>
      <c r="F67" s="4">
        <v>7.1</v>
      </c>
      <c r="G67" s="4" t="s">
        <v>28</v>
      </c>
      <c r="H67" s="4"/>
      <c r="I67" s="4">
        <v>4</v>
      </c>
      <c r="J67" s="4">
        <v>7</v>
      </c>
      <c r="K67" s="4" t="s">
        <v>18</v>
      </c>
      <c r="L67" s="4" t="s">
        <v>19</v>
      </c>
      <c r="M67" s="4" t="s">
        <v>36</v>
      </c>
    </row>
    <row r="68" spans="1:13" x14ac:dyDescent="0.3">
      <c r="A68" s="4">
        <v>46185.530879826387</v>
      </c>
      <c r="B68" s="4">
        <v>23</v>
      </c>
      <c r="C68" s="4" t="s">
        <v>14</v>
      </c>
      <c r="D68" s="4">
        <v>8</v>
      </c>
      <c r="E68" s="4" t="s">
        <v>34</v>
      </c>
      <c r="F68" s="4">
        <v>11</v>
      </c>
      <c r="G68" s="4" t="s">
        <v>38</v>
      </c>
      <c r="H68" s="4"/>
      <c r="I68" s="4">
        <v>6</v>
      </c>
      <c r="J68" s="4">
        <v>7</v>
      </c>
      <c r="K68" s="4" t="s">
        <v>18</v>
      </c>
      <c r="L68" s="4" t="s">
        <v>19</v>
      </c>
      <c r="M68" s="4" t="s">
        <v>20</v>
      </c>
    </row>
    <row r="69" spans="1:13" x14ac:dyDescent="0.3">
      <c r="A69" s="4">
        <v>46185.540921168984</v>
      </c>
      <c r="B69" s="4">
        <v>17</v>
      </c>
      <c r="C69" s="4" t="s">
        <v>14</v>
      </c>
      <c r="D69" s="4">
        <v>3.7</v>
      </c>
      <c r="E69" s="4" t="s">
        <v>27</v>
      </c>
      <c r="F69" s="4">
        <v>4.8</v>
      </c>
      <c r="G69" s="4" t="s">
        <v>38</v>
      </c>
      <c r="H69" s="4"/>
      <c r="I69" s="4">
        <v>1.3</v>
      </c>
      <c r="J69" s="4">
        <v>6</v>
      </c>
      <c r="K69" s="4" t="s">
        <v>29</v>
      </c>
      <c r="L69" s="4" t="s">
        <v>45</v>
      </c>
      <c r="M69" s="4" t="s">
        <v>36</v>
      </c>
    </row>
    <row r="70" spans="1:13" ht="28.8" x14ac:dyDescent="0.3">
      <c r="A70" s="4">
        <v>46185.541123344912</v>
      </c>
      <c r="B70" s="4">
        <v>17</v>
      </c>
      <c r="C70" s="4" t="s">
        <v>22</v>
      </c>
      <c r="D70" s="4">
        <v>3.6</v>
      </c>
      <c r="E70" s="4" t="s">
        <v>44</v>
      </c>
      <c r="F70" s="4">
        <v>6.4</v>
      </c>
      <c r="G70" s="4" t="s">
        <v>24</v>
      </c>
      <c r="H70" s="4"/>
      <c r="I70" s="4">
        <v>3.3</v>
      </c>
      <c r="J70" s="4">
        <v>7</v>
      </c>
      <c r="K70" s="4" t="s">
        <v>33</v>
      </c>
      <c r="L70" s="4" t="s">
        <v>45</v>
      </c>
      <c r="M70" s="4" t="s">
        <v>45</v>
      </c>
    </row>
    <row r="71" spans="1:13" x14ac:dyDescent="0.3">
      <c r="A71" s="4">
        <v>46185.541352222222</v>
      </c>
      <c r="B71" s="4">
        <v>21</v>
      </c>
      <c r="C71" s="4" t="s">
        <v>22</v>
      </c>
      <c r="D71" s="4">
        <v>2</v>
      </c>
      <c r="E71" s="4" t="s">
        <v>15</v>
      </c>
      <c r="F71" s="4">
        <v>4.5999999999999996</v>
      </c>
      <c r="G71" s="4" t="s">
        <v>43</v>
      </c>
      <c r="H71" s="4"/>
      <c r="I71" s="4">
        <v>1.4</v>
      </c>
      <c r="J71" s="4">
        <v>7</v>
      </c>
      <c r="K71" s="4" t="s">
        <v>39</v>
      </c>
      <c r="L71" s="4" t="s">
        <v>19</v>
      </c>
      <c r="M71" s="4" t="s">
        <v>36</v>
      </c>
    </row>
    <row r="72" spans="1:13" x14ac:dyDescent="0.3">
      <c r="A72" s="4">
        <v>46185.54155199074</v>
      </c>
      <c r="B72" s="4">
        <v>22</v>
      </c>
      <c r="C72" s="4" t="s">
        <v>22</v>
      </c>
      <c r="D72" s="4">
        <v>3.5</v>
      </c>
      <c r="E72" s="4" t="s">
        <v>37</v>
      </c>
      <c r="F72" s="4">
        <v>4.8</v>
      </c>
      <c r="G72" s="4" t="s">
        <v>35</v>
      </c>
      <c r="H72" s="4"/>
      <c r="I72" s="4">
        <v>2.5</v>
      </c>
      <c r="J72" s="4">
        <v>6</v>
      </c>
      <c r="K72" s="4" t="s">
        <v>18</v>
      </c>
      <c r="L72" s="4" t="s">
        <v>19</v>
      </c>
      <c r="M72" s="4" t="s">
        <v>45</v>
      </c>
    </row>
    <row r="73" spans="1:13" ht="28.8" x14ac:dyDescent="0.3">
      <c r="A73" s="4">
        <v>46185.541756030092</v>
      </c>
      <c r="B73" s="4">
        <v>21</v>
      </c>
      <c r="C73" s="4" t="s">
        <v>22</v>
      </c>
      <c r="D73" s="4">
        <v>7.3</v>
      </c>
      <c r="E73" s="4" t="s">
        <v>23</v>
      </c>
      <c r="F73" s="4">
        <v>9.1999999999999993</v>
      </c>
      <c r="G73" s="4" t="s">
        <v>24</v>
      </c>
      <c r="H73" s="4"/>
      <c r="I73" s="4">
        <v>4.2</v>
      </c>
      <c r="J73" s="4">
        <v>5</v>
      </c>
      <c r="K73" s="4" t="s">
        <v>33</v>
      </c>
      <c r="L73" s="4" t="s">
        <v>30</v>
      </c>
      <c r="M73" s="4" t="s">
        <v>36</v>
      </c>
    </row>
    <row r="74" spans="1:13" x14ac:dyDescent="0.3">
      <c r="A74" s="4">
        <v>46185.541955706023</v>
      </c>
      <c r="B74" s="4">
        <v>23</v>
      </c>
      <c r="C74" s="4" t="s">
        <v>14</v>
      </c>
      <c r="D74" s="4">
        <v>6.5</v>
      </c>
      <c r="E74" s="4" t="s">
        <v>15</v>
      </c>
      <c r="F74" s="4">
        <v>9.4</v>
      </c>
      <c r="G74" s="4" t="s">
        <v>43</v>
      </c>
      <c r="H74" s="4"/>
      <c r="I74" s="4">
        <v>4.3</v>
      </c>
      <c r="J74" s="4">
        <v>4</v>
      </c>
      <c r="K74" s="4" t="s">
        <v>33</v>
      </c>
      <c r="L74" s="4" t="s">
        <v>25</v>
      </c>
      <c r="M74" s="4" t="s">
        <v>30</v>
      </c>
    </row>
    <row r="75" spans="1:13" x14ac:dyDescent="0.3">
      <c r="A75" s="4">
        <v>46185.542156516203</v>
      </c>
      <c r="B75" s="4">
        <v>22</v>
      </c>
      <c r="C75" s="4" t="s">
        <v>22</v>
      </c>
      <c r="D75" s="4">
        <v>2.7</v>
      </c>
      <c r="E75" s="4" t="s">
        <v>15</v>
      </c>
      <c r="F75" s="4">
        <v>4.5999999999999996</v>
      </c>
      <c r="G75" s="4" t="s">
        <v>32</v>
      </c>
      <c r="H75" s="4"/>
      <c r="I75" s="4">
        <v>1.3</v>
      </c>
      <c r="J75" s="4">
        <v>8</v>
      </c>
      <c r="K75" s="4" t="s">
        <v>29</v>
      </c>
      <c r="L75" s="4" t="s">
        <v>30</v>
      </c>
      <c r="M75" s="4" t="s">
        <v>30</v>
      </c>
    </row>
    <row r="76" spans="1:13" x14ac:dyDescent="0.3">
      <c r="A76" s="4">
        <v>46185.542359189814</v>
      </c>
      <c r="B76" s="4">
        <v>24</v>
      </c>
      <c r="C76" s="4" t="s">
        <v>22</v>
      </c>
      <c r="D76" s="4">
        <v>2</v>
      </c>
      <c r="E76" s="4" t="s">
        <v>15</v>
      </c>
      <c r="F76" s="4">
        <v>2.8</v>
      </c>
      <c r="G76" s="4" t="s">
        <v>43</v>
      </c>
      <c r="H76" s="4"/>
      <c r="I76" s="4">
        <v>1.1000000000000001</v>
      </c>
      <c r="J76" s="4">
        <v>7</v>
      </c>
      <c r="K76" s="4" t="s">
        <v>18</v>
      </c>
      <c r="L76" s="4" t="s">
        <v>45</v>
      </c>
      <c r="M76" s="4" t="s">
        <v>20</v>
      </c>
    </row>
    <row r="77" spans="1:13" x14ac:dyDescent="0.3">
      <c r="A77" s="4">
        <v>46185.542568356483</v>
      </c>
      <c r="B77" s="4">
        <v>18</v>
      </c>
      <c r="C77" s="4" t="s">
        <v>14</v>
      </c>
      <c r="D77" s="4">
        <v>6.3</v>
      </c>
      <c r="E77" s="4" t="s">
        <v>15</v>
      </c>
      <c r="F77" s="4">
        <v>8.6999999999999993</v>
      </c>
      <c r="G77" s="4" t="s">
        <v>32</v>
      </c>
      <c r="H77" s="4"/>
      <c r="I77" s="4">
        <v>5.5</v>
      </c>
      <c r="J77" s="4">
        <v>4</v>
      </c>
      <c r="K77" s="4" t="s">
        <v>33</v>
      </c>
      <c r="L77" s="4" t="s">
        <v>19</v>
      </c>
      <c r="M77" s="4" t="s">
        <v>20</v>
      </c>
    </row>
    <row r="78" spans="1:13" x14ac:dyDescent="0.3">
      <c r="A78" s="4">
        <v>46185.542772800924</v>
      </c>
      <c r="B78" s="4">
        <v>23</v>
      </c>
      <c r="C78" s="4" t="s">
        <v>14</v>
      </c>
      <c r="D78" s="4">
        <v>3.2</v>
      </c>
      <c r="E78" s="4" t="s">
        <v>23</v>
      </c>
      <c r="F78" s="4">
        <v>5</v>
      </c>
      <c r="G78" s="4" t="s">
        <v>28</v>
      </c>
      <c r="H78" s="4"/>
      <c r="I78" s="4">
        <v>2.2999999999999998</v>
      </c>
      <c r="J78" s="4">
        <v>6</v>
      </c>
      <c r="K78" s="4" t="s">
        <v>18</v>
      </c>
      <c r="L78" s="4" t="s">
        <v>25</v>
      </c>
      <c r="M78" s="4" t="s">
        <v>20</v>
      </c>
    </row>
    <row r="79" spans="1:13" x14ac:dyDescent="0.3">
      <c r="A79" s="4">
        <v>46185.542975833334</v>
      </c>
      <c r="B79" s="4">
        <v>26</v>
      </c>
      <c r="C79" s="4" t="s">
        <v>14</v>
      </c>
      <c r="D79" s="4">
        <v>7.7</v>
      </c>
      <c r="E79" s="4" t="s">
        <v>15</v>
      </c>
      <c r="F79" s="4">
        <v>8.6</v>
      </c>
      <c r="G79" s="4" t="s">
        <v>43</v>
      </c>
      <c r="H79" s="4"/>
      <c r="I79" s="4">
        <v>3.1</v>
      </c>
      <c r="J79" s="4">
        <v>5</v>
      </c>
      <c r="K79" s="4" t="s">
        <v>33</v>
      </c>
      <c r="L79" s="4" t="s">
        <v>19</v>
      </c>
      <c r="M79" s="4" t="s">
        <v>20</v>
      </c>
    </row>
    <row r="80" spans="1:13" x14ac:dyDescent="0.3">
      <c r="A80" s="4">
        <v>46185.543182557871</v>
      </c>
      <c r="B80" s="4">
        <v>24</v>
      </c>
      <c r="C80" s="4" t="s">
        <v>22</v>
      </c>
      <c r="D80" s="4">
        <v>3.7</v>
      </c>
      <c r="E80" s="4" t="s">
        <v>23</v>
      </c>
      <c r="F80" s="4">
        <v>6.7</v>
      </c>
      <c r="G80" s="4" t="s">
        <v>38</v>
      </c>
      <c r="H80" s="4"/>
      <c r="I80" s="4">
        <v>2.2000000000000002</v>
      </c>
      <c r="J80" s="4">
        <v>8</v>
      </c>
      <c r="K80" s="4" t="s">
        <v>18</v>
      </c>
      <c r="L80" s="4" t="s">
        <v>19</v>
      </c>
      <c r="M80" s="4" t="s">
        <v>30</v>
      </c>
    </row>
    <row r="81" spans="1:13" x14ac:dyDescent="0.3">
      <c r="A81" s="4">
        <v>46185.543386168982</v>
      </c>
      <c r="B81" s="4">
        <v>28</v>
      </c>
      <c r="C81" s="4" t="s">
        <v>14</v>
      </c>
      <c r="D81" s="4">
        <v>7.9</v>
      </c>
      <c r="E81" s="4" t="s">
        <v>23</v>
      </c>
      <c r="F81" s="4">
        <v>9.3000000000000007</v>
      </c>
      <c r="G81" s="4" t="s">
        <v>43</v>
      </c>
      <c r="H81" s="4"/>
      <c r="I81" s="4">
        <v>4.4000000000000004</v>
      </c>
      <c r="J81" s="4">
        <v>5</v>
      </c>
      <c r="K81" s="4" t="s">
        <v>33</v>
      </c>
      <c r="L81" s="4" t="s">
        <v>25</v>
      </c>
      <c r="M81" s="4" t="s">
        <v>36</v>
      </c>
    </row>
    <row r="82" spans="1:13" x14ac:dyDescent="0.3">
      <c r="A82" s="4">
        <v>46185.543590590278</v>
      </c>
      <c r="B82" s="4">
        <v>19</v>
      </c>
      <c r="C82" s="4" t="s">
        <v>22</v>
      </c>
      <c r="D82" s="4">
        <v>5.6</v>
      </c>
      <c r="E82" s="4" t="s">
        <v>27</v>
      </c>
      <c r="F82" s="4">
        <v>7.7</v>
      </c>
      <c r="G82" s="4" t="s">
        <v>41</v>
      </c>
      <c r="H82" s="4"/>
      <c r="I82" s="4">
        <v>2</v>
      </c>
      <c r="J82" s="4">
        <v>7</v>
      </c>
      <c r="K82" s="4" t="s">
        <v>18</v>
      </c>
      <c r="L82" s="4" t="s">
        <v>25</v>
      </c>
      <c r="M82" s="4" t="s">
        <v>45</v>
      </c>
    </row>
    <row r="83" spans="1:13" ht="28.8" x14ac:dyDescent="0.3">
      <c r="A83" s="4">
        <v>46185.543791701391</v>
      </c>
      <c r="B83" s="4">
        <v>18</v>
      </c>
      <c r="C83" s="4" t="s">
        <v>22</v>
      </c>
      <c r="D83" s="4">
        <v>2.9</v>
      </c>
      <c r="E83" s="4" t="s">
        <v>23</v>
      </c>
      <c r="F83" s="4">
        <v>5.4</v>
      </c>
      <c r="G83" s="4" t="s">
        <v>24</v>
      </c>
      <c r="H83" s="4"/>
      <c r="I83" s="4">
        <v>2.7</v>
      </c>
      <c r="J83" s="4">
        <v>6</v>
      </c>
      <c r="K83" s="4" t="s">
        <v>39</v>
      </c>
      <c r="L83" s="4" t="s">
        <v>30</v>
      </c>
      <c r="M83" s="4" t="s">
        <v>36</v>
      </c>
    </row>
    <row r="84" spans="1:13" x14ac:dyDescent="0.3">
      <c r="A84" s="4">
        <v>46185.543992638894</v>
      </c>
      <c r="B84" s="4">
        <v>26</v>
      </c>
      <c r="C84" s="4" t="s">
        <v>14</v>
      </c>
      <c r="D84" s="4">
        <v>3.2</v>
      </c>
      <c r="E84" s="4" t="s">
        <v>15</v>
      </c>
      <c r="F84" s="4">
        <v>6.2</v>
      </c>
      <c r="G84" s="4" t="s">
        <v>28</v>
      </c>
      <c r="H84" s="4"/>
      <c r="I84" s="4">
        <v>2.5</v>
      </c>
      <c r="J84" s="4">
        <v>6</v>
      </c>
      <c r="K84" s="4" t="s">
        <v>18</v>
      </c>
      <c r="L84" s="4" t="s">
        <v>19</v>
      </c>
      <c r="M84" s="4" t="s">
        <v>45</v>
      </c>
    </row>
    <row r="85" spans="1:13" x14ac:dyDescent="0.3">
      <c r="A85" s="4">
        <v>46185.544197129631</v>
      </c>
      <c r="B85" s="4">
        <v>20</v>
      </c>
      <c r="C85" s="4" t="s">
        <v>22</v>
      </c>
      <c r="D85" s="4">
        <v>7.7</v>
      </c>
      <c r="E85" s="4" t="s">
        <v>23</v>
      </c>
      <c r="F85" s="4">
        <v>10.6</v>
      </c>
      <c r="G85" s="4" t="s">
        <v>38</v>
      </c>
      <c r="H85" s="4"/>
      <c r="I85" s="4">
        <v>5.2</v>
      </c>
      <c r="J85" s="4">
        <v>5</v>
      </c>
      <c r="K85" s="4" t="s">
        <v>33</v>
      </c>
      <c r="L85" s="4" t="s">
        <v>25</v>
      </c>
      <c r="M85" s="4" t="s">
        <v>20</v>
      </c>
    </row>
    <row r="86" spans="1:13" x14ac:dyDescent="0.3">
      <c r="A86" s="4">
        <v>46185.544414039352</v>
      </c>
      <c r="B86" s="4">
        <v>21</v>
      </c>
      <c r="C86" s="4" t="s">
        <v>22</v>
      </c>
      <c r="D86" s="4">
        <v>8.1999999999999993</v>
      </c>
      <c r="E86" s="4" t="s">
        <v>42</v>
      </c>
      <c r="F86" s="4">
        <v>11.3</v>
      </c>
      <c r="G86" s="4" t="s">
        <v>16</v>
      </c>
      <c r="H86" s="4" t="s">
        <v>48</v>
      </c>
      <c r="I86" s="4">
        <v>5.3</v>
      </c>
      <c r="J86" s="4">
        <v>4</v>
      </c>
      <c r="K86" s="4" t="s">
        <v>33</v>
      </c>
      <c r="L86" s="4" t="s">
        <v>25</v>
      </c>
      <c r="M86" s="4" t="s">
        <v>36</v>
      </c>
    </row>
    <row r="87" spans="1:13" ht="28.8" x14ac:dyDescent="0.3">
      <c r="A87" s="4">
        <v>46185.544619444445</v>
      </c>
      <c r="B87" s="4">
        <v>25</v>
      </c>
      <c r="C87" s="4" t="s">
        <v>22</v>
      </c>
      <c r="D87" s="4">
        <v>6.9</v>
      </c>
      <c r="E87" s="4" t="s">
        <v>42</v>
      </c>
      <c r="F87" s="4">
        <v>9.6</v>
      </c>
      <c r="G87" s="4" t="s">
        <v>24</v>
      </c>
      <c r="H87" s="4"/>
      <c r="I87" s="4">
        <v>4.9000000000000004</v>
      </c>
      <c r="J87" s="4">
        <v>4</v>
      </c>
      <c r="K87" s="4" t="s">
        <v>29</v>
      </c>
      <c r="L87" s="4" t="s">
        <v>25</v>
      </c>
      <c r="M87" s="4" t="s">
        <v>36</v>
      </c>
    </row>
    <row r="88" spans="1:13" x14ac:dyDescent="0.3">
      <c r="A88" s="4">
        <v>46185.544656215279</v>
      </c>
      <c r="B88" s="4">
        <v>19</v>
      </c>
      <c r="C88" s="4" t="s">
        <v>22</v>
      </c>
      <c r="D88" s="4">
        <v>6.5</v>
      </c>
      <c r="E88" s="4" t="s">
        <v>27</v>
      </c>
      <c r="F88" s="4">
        <v>4.5</v>
      </c>
      <c r="G88" s="4" t="s">
        <v>32</v>
      </c>
      <c r="H88" s="4"/>
      <c r="I88" s="4">
        <v>3.5</v>
      </c>
      <c r="J88" s="4">
        <v>9</v>
      </c>
      <c r="K88" s="4" t="s">
        <v>39</v>
      </c>
      <c r="L88" s="4" t="s">
        <v>25</v>
      </c>
      <c r="M88" s="4" t="s">
        <v>20</v>
      </c>
    </row>
    <row r="89" spans="1:13" x14ac:dyDescent="0.3">
      <c r="A89" s="4">
        <v>46185.544820798612</v>
      </c>
      <c r="B89" s="4">
        <v>20</v>
      </c>
      <c r="C89" s="4" t="s">
        <v>22</v>
      </c>
      <c r="D89" s="4">
        <v>8.1999999999999993</v>
      </c>
      <c r="E89" s="4" t="s">
        <v>34</v>
      </c>
      <c r="F89" s="4">
        <v>11.3</v>
      </c>
      <c r="G89" s="4" t="s">
        <v>32</v>
      </c>
      <c r="H89" s="4"/>
      <c r="I89" s="4">
        <v>7</v>
      </c>
      <c r="J89" s="4">
        <v>3</v>
      </c>
      <c r="K89" s="4" t="s">
        <v>33</v>
      </c>
      <c r="L89" s="4" t="s">
        <v>30</v>
      </c>
      <c r="M89" s="4" t="s">
        <v>20</v>
      </c>
    </row>
    <row r="90" spans="1:13" ht="28.8" x14ac:dyDescent="0.3">
      <c r="A90" s="4">
        <v>46185.549707592596</v>
      </c>
      <c r="B90" s="4">
        <v>38</v>
      </c>
      <c r="C90" s="4" t="s">
        <v>14</v>
      </c>
      <c r="D90" s="4">
        <v>5</v>
      </c>
      <c r="E90" s="4" t="s">
        <v>15</v>
      </c>
      <c r="F90" s="4" t="s">
        <v>78</v>
      </c>
      <c r="G90" s="4" t="s">
        <v>38</v>
      </c>
      <c r="H90" s="4"/>
      <c r="I90" s="4">
        <v>4</v>
      </c>
      <c r="J90" s="4">
        <v>7</v>
      </c>
      <c r="K90" s="4" t="s">
        <v>18</v>
      </c>
      <c r="L90" s="4" t="s">
        <v>19</v>
      </c>
      <c r="M90" s="4" t="s">
        <v>20</v>
      </c>
    </row>
    <row r="91" spans="1:13" ht="28.8" x14ac:dyDescent="0.3">
      <c r="A91" s="4">
        <v>46185.54975262731</v>
      </c>
      <c r="B91" s="4">
        <v>38</v>
      </c>
      <c r="C91" s="4" t="s">
        <v>14</v>
      </c>
      <c r="D91" s="4">
        <v>5</v>
      </c>
      <c r="E91" s="4" t="s">
        <v>15</v>
      </c>
      <c r="F91" s="4" t="s">
        <v>78</v>
      </c>
      <c r="G91" s="4" t="s">
        <v>38</v>
      </c>
      <c r="H91" s="4"/>
      <c r="I91" s="4">
        <v>4</v>
      </c>
      <c r="J91" s="4">
        <v>7</v>
      </c>
      <c r="K91" s="4" t="s">
        <v>18</v>
      </c>
      <c r="L91" s="4" t="s">
        <v>19</v>
      </c>
      <c r="M91" s="4" t="s">
        <v>20</v>
      </c>
    </row>
    <row r="92" spans="1:13" ht="28.8" x14ac:dyDescent="0.3">
      <c r="A92" s="4">
        <v>46185.54981571759</v>
      </c>
      <c r="B92" s="4">
        <v>38</v>
      </c>
      <c r="C92" s="4" t="s">
        <v>14</v>
      </c>
      <c r="D92" s="4">
        <v>5</v>
      </c>
      <c r="E92" s="4" t="s">
        <v>15</v>
      </c>
      <c r="F92" s="4" t="s">
        <v>78</v>
      </c>
      <c r="G92" s="4" t="s">
        <v>38</v>
      </c>
      <c r="H92" s="4"/>
      <c r="I92" s="4">
        <v>4</v>
      </c>
      <c r="J92" s="4">
        <v>7</v>
      </c>
      <c r="K92" s="4" t="s">
        <v>18</v>
      </c>
      <c r="L92" s="4" t="s">
        <v>19</v>
      </c>
      <c r="M92" s="4" t="s">
        <v>20</v>
      </c>
    </row>
    <row r="93" spans="1:13" x14ac:dyDescent="0.3">
      <c r="A93" s="4">
        <v>46185.551631562499</v>
      </c>
      <c r="B93" s="4">
        <v>25</v>
      </c>
      <c r="C93" s="4" t="s">
        <v>14</v>
      </c>
      <c r="D93" s="4">
        <v>9</v>
      </c>
      <c r="E93" s="4" t="s">
        <v>34</v>
      </c>
      <c r="F93" s="4">
        <v>9</v>
      </c>
      <c r="G93" s="4" t="s">
        <v>28</v>
      </c>
      <c r="H93" s="4"/>
      <c r="I93" s="4">
        <v>2.5</v>
      </c>
      <c r="J93" s="4">
        <v>5</v>
      </c>
      <c r="K93" s="4" t="s">
        <v>33</v>
      </c>
      <c r="L93" s="4" t="s">
        <v>19</v>
      </c>
      <c r="M93" s="4" t="s">
        <v>20</v>
      </c>
    </row>
    <row r="94" spans="1:13" x14ac:dyDescent="0.3">
      <c r="A94" s="4">
        <v>46185.56233630787</v>
      </c>
      <c r="B94" s="4">
        <v>25</v>
      </c>
      <c r="C94" s="4" t="s">
        <v>22</v>
      </c>
      <c r="D94" s="4">
        <v>4</v>
      </c>
      <c r="E94" s="4" t="s">
        <v>37</v>
      </c>
      <c r="F94" s="4">
        <v>6</v>
      </c>
      <c r="G94" s="4" t="s">
        <v>32</v>
      </c>
      <c r="H94" s="4"/>
      <c r="I94" s="4">
        <v>2.5</v>
      </c>
      <c r="J94" s="4">
        <v>7</v>
      </c>
      <c r="K94" s="4" t="s">
        <v>33</v>
      </c>
      <c r="L94" s="4" t="s">
        <v>19</v>
      </c>
      <c r="M94" s="4" t="s">
        <v>20</v>
      </c>
    </row>
    <row r="95" spans="1:13" x14ac:dyDescent="0.3">
      <c r="A95" s="4">
        <v>46185.567445393521</v>
      </c>
      <c r="B95" s="4">
        <v>25</v>
      </c>
      <c r="C95" s="4" t="s">
        <v>14</v>
      </c>
      <c r="D95" s="4">
        <v>5</v>
      </c>
      <c r="E95" s="4" t="s">
        <v>27</v>
      </c>
      <c r="F95" s="4">
        <v>7</v>
      </c>
      <c r="G95" s="4" t="s">
        <v>28</v>
      </c>
      <c r="H95" s="4"/>
      <c r="I95" s="4">
        <v>3.5</v>
      </c>
      <c r="J95" s="4">
        <v>1</v>
      </c>
      <c r="K95" s="4" t="s">
        <v>39</v>
      </c>
      <c r="L95" s="4" t="s">
        <v>45</v>
      </c>
      <c r="M95" s="4" t="s">
        <v>36</v>
      </c>
    </row>
    <row r="96" spans="1:13" x14ac:dyDescent="0.3">
      <c r="A96" s="4">
        <v>46185.583276226855</v>
      </c>
      <c r="B96" s="4">
        <v>23</v>
      </c>
      <c r="C96" s="4" t="s">
        <v>14</v>
      </c>
      <c r="D96" s="4">
        <v>8.5</v>
      </c>
      <c r="E96" s="4" t="s">
        <v>27</v>
      </c>
      <c r="F96" s="4">
        <v>8.4</v>
      </c>
      <c r="G96" s="4" t="s">
        <v>28</v>
      </c>
      <c r="H96" s="4"/>
      <c r="I96" s="4">
        <v>3.5</v>
      </c>
      <c r="J96" s="4">
        <v>9</v>
      </c>
      <c r="K96" s="4" t="s">
        <v>39</v>
      </c>
      <c r="L96" s="4" t="s">
        <v>19</v>
      </c>
      <c r="M96" s="4" t="s">
        <v>20</v>
      </c>
    </row>
    <row r="97" spans="1:13" x14ac:dyDescent="0.3">
      <c r="A97" s="4">
        <v>46185.587077997683</v>
      </c>
      <c r="B97" s="4">
        <v>16</v>
      </c>
      <c r="C97" s="4" t="s">
        <v>14</v>
      </c>
      <c r="D97" s="4">
        <v>1</v>
      </c>
      <c r="E97" s="4" t="s">
        <v>23</v>
      </c>
      <c r="F97" s="4">
        <v>1.5</v>
      </c>
      <c r="G97" s="4" t="s">
        <v>16</v>
      </c>
      <c r="H97" s="4" t="s">
        <v>49</v>
      </c>
      <c r="I97" s="4">
        <v>1</v>
      </c>
      <c r="J97" s="4">
        <v>1</v>
      </c>
      <c r="K97" s="4" t="s">
        <v>29</v>
      </c>
      <c r="L97" s="4" t="s">
        <v>45</v>
      </c>
      <c r="M97" s="4" t="s">
        <v>45</v>
      </c>
    </row>
    <row r="98" spans="1:13" x14ac:dyDescent="0.3">
      <c r="A98" s="4">
        <v>46185.604597881946</v>
      </c>
      <c r="B98" s="4">
        <v>22</v>
      </c>
      <c r="C98" s="4" t="s">
        <v>22</v>
      </c>
      <c r="D98" s="4">
        <v>3.5</v>
      </c>
      <c r="E98" s="4" t="s">
        <v>34</v>
      </c>
      <c r="F98" s="4">
        <v>5</v>
      </c>
      <c r="G98" s="4" t="s">
        <v>38</v>
      </c>
      <c r="H98" s="4"/>
      <c r="I98" s="4">
        <v>2</v>
      </c>
      <c r="J98" s="4">
        <v>10</v>
      </c>
      <c r="K98" s="4" t="s">
        <v>18</v>
      </c>
      <c r="L98" s="4" t="s">
        <v>19</v>
      </c>
      <c r="M98" s="4" t="s">
        <v>30</v>
      </c>
    </row>
    <row r="99" spans="1:13" x14ac:dyDescent="0.3">
      <c r="A99" s="4">
        <v>46185.607160949075</v>
      </c>
      <c r="B99" s="4">
        <v>21</v>
      </c>
      <c r="C99" s="4" t="s">
        <v>14</v>
      </c>
      <c r="D99" s="4">
        <v>6</v>
      </c>
      <c r="E99" s="4" t="s">
        <v>23</v>
      </c>
      <c r="F99" s="4">
        <v>7.3</v>
      </c>
      <c r="G99" s="4" t="s">
        <v>28</v>
      </c>
      <c r="H99" s="4"/>
      <c r="I99" s="4">
        <v>2.4</v>
      </c>
      <c r="J99" s="4">
        <v>2</v>
      </c>
      <c r="K99" s="4" t="s">
        <v>18</v>
      </c>
      <c r="L99" s="4" t="s">
        <v>25</v>
      </c>
      <c r="M99" s="4" t="s">
        <v>20</v>
      </c>
    </row>
    <row r="100" spans="1:13" x14ac:dyDescent="0.3">
      <c r="A100" s="4">
        <v>46185.607186944442</v>
      </c>
      <c r="B100" s="4">
        <v>26</v>
      </c>
      <c r="C100" s="4" t="s">
        <v>40</v>
      </c>
      <c r="D100" s="4">
        <v>6.8</v>
      </c>
      <c r="E100" s="4" t="s">
        <v>37</v>
      </c>
      <c r="F100" s="4">
        <v>12.6</v>
      </c>
      <c r="G100" s="4" t="s">
        <v>43</v>
      </c>
      <c r="H100" s="4"/>
      <c r="I100" s="4">
        <v>8</v>
      </c>
      <c r="J100" s="4">
        <v>2</v>
      </c>
      <c r="K100" s="4" t="s">
        <v>39</v>
      </c>
      <c r="L100" s="4" t="s">
        <v>19</v>
      </c>
      <c r="M100" s="4" t="s">
        <v>30</v>
      </c>
    </row>
    <row r="101" spans="1:13" x14ac:dyDescent="0.3">
      <c r="A101" s="4">
        <v>46185.607217800927</v>
      </c>
      <c r="B101" s="4">
        <v>24</v>
      </c>
      <c r="C101" s="4" t="s">
        <v>22</v>
      </c>
      <c r="D101" s="4">
        <v>5</v>
      </c>
      <c r="E101" s="4" t="s">
        <v>34</v>
      </c>
      <c r="F101" s="4">
        <v>5.6</v>
      </c>
      <c r="G101" s="4" t="s">
        <v>32</v>
      </c>
      <c r="H101" s="4"/>
      <c r="I101" s="4">
        <v>2.2000000000000002</v>
      </c>
      <c r="J101" s="4">
        <v>9</v>
      </c>
      <c r="K101" s="4" t="s">
        <v>18</v>
      </c>
      <c r="L101" s="4" t="s">
        <v>30</v>
      </c>
      <c r="M101" s="4" t="s">
        <v>45</v>
      </c>
    </row>
    <row r="102" spans="1:13" x14ac:dyDescent="0.3">
      <c r="A102" s="4">
        <v>46185.607246874999</v>
      </c>
      <c r="B102" s="4">
        <v>22</v>
      </c>
      <c r="C102" s="4" t="s">
        <v>22</v>
      </c>
      <c r="D102" s="4">
        <v>6.3</v>
      </c>
      <c r="E102" s="4" t="s">
        <v>15</v>
      </c>
      <c r="F102" s="4">
        <v>10.4</v>
      </c>
      <c r="G102" s="4" t="s">
        <v>43</v>
      </c>
      <c r="H102" s="4"/>
      <c r="I102" s="4">
        <v>1.9</v>
      </c>
      <c r="J102" s="4">
        <v>4</v>
      </c>
      <c r="K102" s="4" t="s">
        <v>39</v>
      </c>
      <c r="L102" s="4" t="s">
        <v>19</v>
      </c>
      <c r="M102" s="4" t="s">
        <v>36</v>
      </c>
    </row>
    <row r="103" spans="1:13" x14ac:dyDescent="0.3">
      <c r="A103" s="4">
        <v>46185.607280567128</v>
      </c>
      <c r="B103" s="4">
        <v>35</v>
      </c>
      <c r="C103" s="4" t="s">
        <v>14</v>
      </c>
      <c r="D103" s="4">
        <v>5.7</v>
      </c>
      <c r="E103" s="4" t="s">
        <v>42</v>
      </c>
      <c r="F103" s="4">
        <v>12.3</v>
      </c>
      <c r="G103" s="4" t="s">
        <v>32</v>
      </c>
      <c r="H103" s="4"/>
      <c r="I103" s="4">
        <v>4.8</v>
      </c>
      <c r="J103" s="4">
        <v>10</v>
      </c>
      <c r="K103" s="4" t="s">
        <v>39</v>
      </c>
      <c r="L103" s="4" t="s">
        <v>19</v>
      </c>
      <c r="M103" s="4" t="s">
        <v>36</v>
      </c>
    </row>
    <row r="104" spans="1:13" x14ac:dyDescent="0.3">
      <c r="A104" s="4">
        <v>46185.607309826388</v>
      </c>
      <c r="B104" s="4">
        <v>19</v>
      </c>
      <c r="C104" s="4" t="s">
        <v>40</v>
      </c>
      <c r="D104" s="4">
        <v>7.1</v>
      </c>
      <c r="E104" s="4" t="s">
        <v>27</v>
      </c>
      <c r="F104" s="4">
        <v>13.5</v>
      </c>
      <c r="G104" s="4" t="s">
        <v>28</v>
      </c>
      <c r="H104" s="4"/>
      <c r="I104" s="4">
        <v>4.3</v>
      </c>
      <c r="J104" s="4">
        <v>5</v>
      </c>
      <c r="K104" s="4" t="s">
        <v>39</v>
      </c>
      <c r="L104" s="4" t="s">
        <v>30</v>
      </c>
      <c r="M104" s="4" t="s">
        <v>36</v>
      </c>
    </row>
    <row r="105" spans="1:13" x14ac:dyDescent="0.3">
      <c r="A105" s="4">
        <v>46185.60734091435</v>
      </c>
      <c r="B105" s="4">
        <v>24</v>
      </c>
      <c r="C105" s="4" t="s">
        <v>40</v>
      </c>
      <c r="D105" s="4">
        <v>7</v>
      </c>
      <c r="E105" s="4" t="s">
        <v>15</v>
      </c>
      <c r="F105" s="4">
        <v>9</v>
      </c>
      <c r="G105" s="4" t="s">
        <v>32</v>
      </c>
      <c r="H105" s="4"/>
      <c r="I105" s="4">
        <v>1.6</v>
      </c>
      <c r="J105" s="4">
        <v>10</v>
      </c>
      <c r="K105" s="4" t="s">
        <v>18</v>
      </c>
      <c r="L105" s="4" t="s">
        <v>45</v>
      </c>
      <c r="M105" s="4" t="s">
        <v>45</v>
      </c>
    </row>
    <row r="106" spans="1:13" x14ac:dyDescent="0.3">
      <c r="A106" s="4">
        <v>46185.607370046295</v>
      </c>
      <c r="B106" s="4">
        <v>18</v>
      </c>
      <c r="C106" s="4" t="s">
        <v>22</v>
      </c>
      <c r="D106" s="4">
        <v>6.1</v>
      </c>
      <c r="E106" s="4" t="s">
        <v>15</v>
      </c>
      <c r="F106" s="4">
        <v>8.6</v>
      </c>
      <c r="G106" s="4" t="s">
        <v>41</v>
      </c>
      <c r="H106" s="4"/>
      <c r="I106" s="4">
        <v>6.9</v>
      </c>
      <c r="J106" s="4">
        <v>5</v>
      </c>
      <c r="K106" s="4" t="s">
        <v>33</v>
      </c>
      <c r="L106" s="4" t="s">
        <v>19</v>
      </c>
      <c r="M106" s="4" t="s">
        <v>20</v>
      </c>
    </row>
    <row r="107" spans="1:13" x14ac:dyDescent="0.3">
      <c r="A107" s="4">
        <v>46185.60739824074</v>
      </c>
      <c r="B107" s="4">
        <v>24</v>
      </c>
      <c r="C107" s="4" t="s">
        <v>40</v>
      </c>
      <c r="D107" s="4">
        <v>5</v>
      </c>
      <c r="E107" s="4" t="s">
        <v>44</v>
      </c>
      <c r="F107" s="4">
        <v>11.2</v>
      </c>
      <c r="G107" s="4" t="s">
        <v>43</v>
      </c>
      <c r="H107" s="4"/>
      <c r="I107" s="4">
        <v>5.9</v>
      </c>
      <c r="J107" s="4">
        <v>10</v>
      </c>
      <c r="K107" s="4" t="s">
        <v>33</v>
      </c>
      <c r="L107" s="4" t="s">
        <v>19</v>
      </c>
      <c r="M107" s="4" t="s">
        <v>30</v>
      </c>
    </row>
    <row r="108" spans="1:13" x14ac:dyDescent="0.3">
      <c r="A108" s="4">
        <v>46185.607428437499</v>
      </c>
      <c r="B108" s="4">
        <v>31</v>
      </c>
      <c r="C108" s="4" t="s">
        <v>40</v>
      </c>
      <c r="D108" s="4">
        <v>9</v>
      </c>
      <c r="E108" s="4" t="s">
        <v>44</v>
      </c>
      <c r="F108" s="4">
        <v>7.8</v>
      </c>
      <c r="G108" s="4" t="s">
        <v>38</v>
      </c>
      <c r="H108" s="4"/>
      <c r="I108" s="4">
        <v>2.7</v>
      </c>
      <c r="J108" s="4">
        <v>6</v>
      </c>
      <c r="K108" s="4" t="s">
        <v>39</v>
      </c>
      <c r="L108" s="4" t="s">
        <v>19</v>
      </c>
      <c r="M108" s="4" t="s">
        <v>45</v>
      </c>
    </row>
    <row r="109" spans="1:13" x14ac:dyDescent="0.3">
      <c r="A109" s="4">
        <v>46185.607453194447</v>
      </c>
      <c r="B109" s="4">
        <v>26</v>
      </c>
      <c r="C109" s="4" t="s">
        <v>40</v>
      </c>
      <c r="D109" s="4">
        <v>9.1999999999999993</v>
      </c>
      <c r="E109" s="4" t="s">
        <v>42</v>
      </c>
      <c r="F109" s="4">
        <v>14</v>
      </c>
      <c r="G109" s="4" t="s">
        <v>32</v>
      </c>
      <c r="H109" s="4"/>
      <c r="I109" s="4">
        <v>7.3</v>
      </c>
      <c r="J109" s="4">
        <v>5</v>
      </c>
      <c r="K109" s="4" t="s">
        <v>29</v>
      </c>
      <c r="L109" s="4" t="s">
        <v>45</v>
      </c>
      <c r="M109" s="4" t="s">
        <v>30</v>
      </c>
    </row>
    <row r="110" spans="1:13" x14ac:dyDescent="0.3">
      <c r="A110" s="4">
        <v>46185.607476261575</v>
      </c>
      <c r="B110" s="4">
        <v>19</v>
      </c>
      <c r="C110" s="4" t="s">
        <v>14</v>
      </c>
      <c r="D110" s="4">
        <v>3.9</v>
      </c>
      <c r="E110" s="4" t="s">
        <v>44</v>
      </c>
      <c r="F110" s="4">
        <v>8</v>
      </c>
      <c r="G110" s="4" t="s">
        <v>46</v>
      </c>
      <c r="H110" s="4"/>
      <c r="I110" s="4">
        <v>1.1000000000000001</v>
      </c>
      <c r="J110" s="4">
        <v>10</v>
      </c>
      <c r="K110" s="4" t="s">
        <v>29</v>
      </c>
      <c r="L110" s="4" t="s">
        <v>45</v>
      </c>
      <c r="M110" s="4" t="s">
        <v>30</v>
      </c>
    </row>
    <row r="111" spans="1:13" ht="28.8" x14ac:dyDescent="0.3">
      <c r="A111" s="4">
        <v>46185.607494201387</v>
      </c>
      <c r="B111" s="4">
        <v>20</v>
      </c>
      <c r="C111" s="4" t="s">
        <v>40</v>
      </c>
      <c r="D111" s="4">
        <v>6.5</v>
      </c>
      <c r="E111" s="4" t="s">
        <v>23</v>
      </c>
      <c r="F111" s="4">
        <v>9.6999999999999993</v>
      </c>
      <c r="G111" s="4" t="s">
        <v>24</v>
      </c>
      <c r="H111" s="4"/>
      <c r="I111" s="4">
        <v>5.5</v>
      </c>
      <c r="J111" s="4">
        <v>2</v>
      </c>
      <c r="K111" s="4" t="s">
        <v>18</v>
      </c>
      <c r="L111" s="4" t="s">
        <v>25</v>
      </c>
      <c r="M111" s="4" t="s">
        <v>30</v>
      </c>
    </row>
    <row r="112" spans="1:13" x14ac:dyDescent="0.3">
      <c r="A112" s="4">
        <v>46185.607519502315</v>
      </c>
      <c r="B112" s="4">
        <v>26</v>
      </c>
      <c r="C112" s="4" t="s">
        <v>14</v>
      </c>
      <c r="D112" s="4">
        <v>6.7</v>
      </c>
      <c r="E112" s="4" t="s">
        <v>15</v>
      </c>
      <c r="F112" s="4">
        <v>11.9</v>
      </c>
      <c r="G112" s="4" t="s">
        <v>47</v>
      </c>
      <c r="H112" s="4"/>
      <c r="I112" s="4">
        <v>4.4000000000000004</v>
      </c>
      <c r="J112" s="4">
        <v>10</v>
      </c>
      <c r="K112" s="4" t="s">
        <v>29</v>
      </c>
      <c r="L112" s="4" t="s">
        <v>30</v>
      </c>
      <c r="M112" s="4" t="s">
        <v>36</v>
      </c>
    </row>
    <row r="113" spans="1:13" x14ac:dyDescent="0.3">
      <c r="A113" s="4">
        <v>46185.607544027778</v>
      </c>
      <c r="B113" s="4">
        <v>22</v>
      </c>
      <c r="C113" s="4" t="s">
        <v>14</v>
      </c>
      <c r="D113" s="4">
        <v>4.0999999999999996</v>
      </c>
      <c r="E113" s="4" t="s">
        <v>44</v>
      </c>
      <c r="F113" s="4">
        <v>4.8</v>
      </c>
      <c r="G113" s="4" t="s">
        <v>32</v>
      </c>
      <c r="H113" s="4"/>
      <c r="I113" s="4">
        <v>7.1</v>
      </c>
      <c r="J113" s="4">
        <v>10</v>
      </c>
      <c r="K113" s="4" t="s">
        <v>29</v>
      </c>
      <c r="L113" s="4" t="s">
        <v>30</v>
      </c>
      <c r="M113" s="4" t="s">
        <v>36</v>
      </c>
    </row>
    <row r="114" spans="1:13" x14ac:dyDescent="0.3">
      <c r="A114" s="4">
        <v>46185.607566759259</v>
      </c>
      <c r="B114" s="4">
        <v>26</v>
      </c>
      <c r="C114" s="4" t="s">
        <v>40</v>
      </c>
      <c r="D114" s="4">
        <v>3.1</v>
      </c>
      <c r="E114" s="4" t="s">
        <v>42</v>
      </c>
      <c r="F114" s="4">
        <v>10.8</v>
      </c>
      <c r="G114" s="4" t="s">
        <v>28</v>
      </c>
      <c r="H114" s="4"/>
      <c r="I114" s="4">
        <v>3.7</v>
      </c>
      <c r="J114" s="4">
        <v>7</v>
      </c>
      <c r="K114" s="4" t="s">
        <v>39</v>
      </c>
      <c r="L114" s="4" t="s">
        <v>25</v>
      </c>
      <c r="M114" s="4" t="s">
        <v>20</v>
      </c>
    </row>
    <row r="115" spans="1:13" x14ac:dyDescent="0.3">
      <c r="A115" s="4">
        <v>46185.607587129634</v>
      </c>
      <c r="B115" s="4">
        <v>18</v>
      </c>
      <c r="C115" s="4" t="s">
        <v>14</v>
      </c>
      <c r="D115" s="4">
        <v>3.9</v>
      </c>
      <c r="E115" s="4" t="s">
        <v>34</v>
      </c>
      <c r="F115" s="4">
        <v>12.3</v>
      </c>
      <c r="G115" s="4" t="s">
        <v>47</v>
      </c>
      <c r="H115" s="4"/>
      <c r="I115" s="4">
        <v>3.4</v>
      </c>
      <c r="J115" s="4">
        <v>6</v>
      </c>
      <c r="K115" s="4" t="s">
        <v>29</v>
      </c>
      <c r="L115" s="4" t="s">
        <v>25</v>
      </c>
      <c r="M115" s="4" t="s">
        <v>45</v>
      </c>
    </row>
    <row r="116" spans="1:13" x14ac:dyDescent="0.3">
      <c r="A116" s="4">
        <v>46185.60761298611</v>
      </c>
      <c r="B116" s="4">
        <v>16</v>
      </c>
      <c r="C116" s="4" t="s">
        <v>22</v>
      </c>
      <c r="D116" s="4">
        <v>8.4</v>
      </c>
      <c r="E116" s="4" t="s">
        <v>34</v>
      </c>
      <c r="F116" s="4">
        <v>7.3</v>
      </c>
      <c r="G116" s="4" t="s">
        <v>43</v>
      </c>
      <c r="H116" s="4"/>
      <c r="I116" s="4">
        <v>2.9</v>
      </c>
      <c r="J116" s="4">
        <v>9</v>
      </c>
      <c r="K116" s="4" t="s">
        <v>18</v>
      </c>
      <c r="L116" s="4" t="s">
        <v>30</v>
      </c>
      <c r="M116" s="4" t="s">
        <v>30</v>
      </c>
    </row>
    <row r="117" spans="1:13" x14ac:dyDescent="0.3">
      <c r="A117" s="4">
        <v>46185.607635185181</v>
      </c>
      <c r="B117" s="4">
        <v>29</v>
      </c>
      <c r="C117" s="4" t="s">
        <v>22</v>
      </c>
      <c r="D117" s="4">
        <v>7.9</v>
      </c>
      <c r="E117" s="4" t="s">
        <v>15</v>
      </c>
      <c r="F117" s="4">
        <v>6.1</v>
      </c>
      <c r="G117" s="4" t="s">
        <v>32</v>
      </c>
      <c r="H117" s="4"/>
      <c r="I117" s="4">
        <v>2.8</v>
      </c>
      <c r="J117" s="4">
        <v>8</v>
      </c>
      <c r="K117" s="4" t="s">
        <v>39</v>
      </c>
      <c r="L117" s="4" t="s">
        <v>30</v>
      </c>
      <c r="M117" s="4" t="s">
        <v>36</v>
      </c>
    </row>
    <row r="118" spans="1:13" x14ac:dyDescent="0.3">
      <c r="A118" s="4">
        <v>46185.607663877316</v>
      </c>
      <c r="B118" s="4">
        <v>18</v>
      </c>
      <c r="C118" s="4" t="s">
        <v>40</v>
      </c>
      <c r="D118" s="4">
        <v>5.6</v>
      </c>
      <c r="E118" s="4" t="s">
        <v>44</v>
      </c>
      <c r="F118" s="4">
        <v>10.7</v>
      </c>
      <c r="G118" s="4" t="s">
        <v>47</v>
      </c>
      <c r="H118" s="4"/>
      <c r="I118" s="4">
        <v>5.7</v>
      </c>
      <c r="J118" s="4">
        <v>4</v>
      </c>
      <c r="K118" s="4" t="s">
        <v>18</v>
      </c>
      <c r="L118" s="4" t="s">
        <v>30</v>
      </c>
      <c r="M118" s="4" t="s">
        <v>45</v>
      </c>
    </row>
    <row r="119" spans="1:13" x14ac:dyDescent="0.3">
      <c r="A119" s="4">
        <v>46185.607687685188</v>
      </c>
      <c r="B119" s="4">
        <v>17</v>
      </c>
      <c r="C119" s="4" t="s">
        <v>22</v>
      </c>
      <c r="D119" s="4">
        <v>6.3</v>
      </c>
      <c r="E119" s="4" t="s">
        <v>42</v>
      </c>
      <c r="F119" s="4">
        <v>11.5</v>
      </c>
      <c r="G119" s="4" t="s">
        <v>46</v>
      </c>
      <c r="H119" s="4"/>
      <c r="I119" s="4">
        <v>6.6</v>
      </c>
      <c r="J119" s="4">
        <v>5</v>
      </c>
      <c r="K119" s="4" t="s">
        <v>18</v>
      </c>
      <c r="L119" s="4" t="s">
        <v>19</v>
      </c>
      <c r="M119" s="4" t="s">
        <v>36</v>
      </c>
    </row>
    <row r="120" spans="1:13" x14ac:dyDescent="0.3">
      <c r="A120" s="4">
        <v>46185.607717685183</v>
      </c>
      <c r="B120" s="4">
        <v>32</v>
      </c>
      <c r="C120" s="4" t="s">
        <v>40</v>
      </c>
      <c r="D120" s="4">
        <v>7.9</v>
      </c>
      <c r="E120" s="4" t="s">
        <v>15</v>
      </c>
      <c r="F120" s="4">
        <v>4.7</v>
      </c>
      <c r="G120" s="4" t="s">
        <v>35</v>
      </c>
      <c r="H120" s="4"/>
      <c r="I120" s="4">
        <v>1.1000000000000001</v>
      </c>
      <c r="J120" s="4">
        <v>1</v>
      </c>
      <c r="K120" s="4" t="s">
        <v>18</v>
      </c>
      <c r="L120" s="4" t="s">
        <v>30</v>
      </c>
      <c r="M120" s="4" t="s">
        <v>45</v>
      </c>
    </row>
    <row r="121" spans="1:13" x14ac:dyDescent="0.3">
      <c r="A121" s="4">
        <v>46185.607744652778</v>
      </c>
      <c r="B121" s="4">
        <v>19</v>
      </c>
      <c r="C121" s="4" t="s">
        <v>14</v>
      </c>
      <c r="D121" s="4">
        <v>6.9</v>
      </c>
      <c r="E121" s="4" t="s">
        <v>37</v>
      </c>
      <c r="F121" s="4">
        <v>11.6</v>
      </c>
      <c r="G121" s="4" t="s">
        <v>41</v>
      </c>
      <c r="H121" s="4"/>
      <c r="I121" s="4">
        <v>1.2</v>
      </c>
      <c r="J121" s="4">
        <v>6</v>
      </c>
      <c r="K121" s="4" t="s">
        <v>18</v>
      </c>
      <c r="L121" s="4" t="s">
        <v>25</v>
      </c>
      <c r="M121" s="4" t="s">
        <v>20</v>
      </c>
    </row>
    <row r="122" spans="1:13" x14ac:dyDescent="0.3">
      <c r="A122" s="4">
        <v>46185.607771469906</v>
      </c>
      <c r="B122" s="4">
        <v>30</v>
      </c>
      <c r="C122" s="4" t="s">
        <v>40</v>
      </c>
      <c r="D122" s="4">
        <v>2.2000000000000002</v>
      </c>
      <c r="E122" s="4" t="s">
        <v>44</v>
      </c>
      <c r="F122" s="4">
        <v>5.7</v>
      </c>
      <c r="G122" s="4" t="s">
        <v>38</v>
      </c>
      <c r="H122" s="4"/>
      <c r="I122" s="4">
        <v>6.3</v>
      </c>
      <c r="J122" s="4">
        <v>7</v>
      </c>
      <c r="K122" s="4" t="s">
        <v>39</v>
      </c>
      <c r="L122" s="4" t="s">
        <v>19</v>
      </c>
      <c r="M122" s="4" t="s">
        <v>30</v>
      </c>
    </row>
    <row r="123" spans="1:13" x14ac:dyDescent="0.3">
      <c r="A123" s="4">
        <v>46185.607797916666</v>
      </c>
      <c r="B123" s="4">
        <v>27</v>
      </c>
      <c r="C123" s="4" t="s">
        <v>40</v>
      </c>
      <c r="D123" s="4">
        <v>5.8</v>
      </c>
      <c r="E123" s="4" t="s">
        <v>44</v>
      </c>
      <c r="F123" s="4">
        <v>8</v>
      </c>
      <c r="G123" s="4" t="s">
        <v>46</v>
      </c>
      <c r="H123" s="4"/>
      <c r="I123" s="4">
        <v>6.3</v>
      </c>
      <c r="J123" s="4">
        <v>1</v>
      </c>
      <c r="K123" s="4" t="s">
        <v>29</v>
      </c>
      <c r="L123" s="4" t="s">
        <v>45</v>
      </c>
      <c r="M123" s="4" t="s">
        <v>36</v>
      </c>
    </row>
    <row r="124" spans="1:13" x14ac:dyDescent="0.3">
      <c r="A124" s="4">
        <v>46185.607816504635</v>
      </c>
      <c r="B124" s="4">
        <v>20</v>
      </c>
      <c r="C124" s="4" t="s">
        <v>22</v>
      </c>
      <c r="D124" s="4">
        <v>5</v>
      </c>
      <c r="E124" s="4" t="s">
        <v>37</v>
      </c>
      <c r="F124" s="4">
        <v>6.4</v>
      </c>
      <c r="G124" s="4" t="s">
        <v>47</v>
      </c>
      <c r="H124" s="4"/>
      <c r="I124" s="4">
        <v>7.4</v>
      </c>
      <c r="J124" s="4">
        <v>2</v>
      </c>
      <c r="K124" s="4" t="s">
        <v>39</v>
      </c>
      <c r="L124" s="4" t="s">
        <v>45</v>
      </c>
      <c r="M124" s="4" t="s">
        <v>45</v>
      </c>
    </row>
    <row r="125" spans="1:13" x14ac:dyDescent="0.3">
      <c r="A125" s="4">
        <v>46185.607837037038</v>
      </c>
      <c r="B125" s="4">
        <v>22</v>
      </c>
      <c r="C125" s="4" t="s">
        <v>14</v>
      </c>
      <c r="D125" s="4">
        <v>4.5999999999999996</v>
      </c>
      <c r="E125" s="4" t="s">
        <v>15</v>
      </c>
      <c r="F125" s="4">
        <v>12.7</v>
      </c>
      <c r="G125" s="4" t="s">
        <v>32</v>
      </c>
      <c r="H125" s="4"/>
      <c r="I125" s="4">
        <v>2</v>
      </c>
      <c r="J125" s="4">
        <v>3</v>
      </c>
      <c r="K125" s="4" t="s">
        <v>33</v>
      </c>
      <c r="L125" s="4" t="s">
        <v>30</v>
      </c>
      <c r="M125" s="4" t="s">
        <v>30</v>
      </c>
    </row>
    <row r="126" spans="1:13" x14ac:dyDescent="0.3">
      <c r="A126" s="4">
        <v>46185.607856585644</v>
      </c>
      <c r="B126" s="4">
        <v>30</v>
      </c>
      <c r="C126" s="4" t="s">
        <v>22</v>
      </c>
      <c r="D126" s="4">
        <v>8.6999999999999993</v>
      </c>
      <c r="E126" s="4" t="s">
        <v>37</v>
      </c>
      <c r="F126" s="4">
        <v>10.3</v>
      </c>
      <c r="G126" s="4" t="s">
        <v>16</v>
      </c>
      <c r="H126" s="4" t="s">
        <v>50</v>
      </c>
      <c r="I126" s="4">
        <v>2.9</v>
      </c>
      <c r="J126" s="4">
        <v>9</v>
      </c>
      <c r="K126" s="4" t="s">
        <v>18</v>
      </c>
      <c r="L126" s="4" t="s">
        <v>19</v>
      </c>
      <c r="M126" s="4" t="s">
        <v>20</v>
      </c>
    </row>
    <row r="127" spans="1:13" x14ac:dyDescent="0.3">
      <c r="A127" s="4">
        <v>46185.607874733796</v>
      </c>
      <c r="B127" s="4">
        <v>30</v>
      </c>
      <c r="C127" s="4" t="s">
        <v>22</v>
      </c>
      <c r="D127" s="4">
        <v>9.9</v>
      </c>
      <c r="E127" s="4" t="s">
        <v>44</v>
      </c>
      <c r="F127" s="4">
        <v>12</v>
      </c>
      <c r="G127" s="4" t="s">
        <v>35</v>
      </c>
      <c r="H127" s="4"/>
      <c r="I127" s="4">
        <v>2.1</v>
      </c>
      <c r="J127" s="4">
        <v>1</v>
      </c>
      <c r="K127" s="4" t="s">
        <v>39</v>
      </c>
      <c r="L127" s="4" t="s">
        <v>19</v>
      </c>
      <c r="M127" s="4" t="s">
        <v>20</v>
      </c>
    </row>
    <row r="128" spans="1:13" x14ac:dyDescent="0.3">
      <c r="A128" s="4">
        <v>46185.607903229167</v>
      </c>
      <c r="B128" s="4">
        <v>34</v>
      </c>
      <c r="C128" s="4" t="s">
        <v>22</v>
      </c>
      <c r="D128" s="4">
        <v>3.7</v>
      </c>
      <c r="E128" s="4" t="s">
        <v>23</v>
      </c>
      <c r="F128" s="4">
        <v>4.9000000000000004</v>
      </c>
      <c r="G128" s="4" t="s">
        <v>38</v>
      </c>
      <c r="H128" s="4"/>
      <c r="I128" s="4">
        <v>6.6</v>
      </c>
      <c r="J128" s="4">
        <v>4</v>
      </c>
      <c r="K128" s="4" t="s">
        <v>18</v>
      </c>
      <c r="L128" s="4" t="s">
        <v>19</v>
      </c>
      <c r="M128" s="4" t="s">
        <v>20</v>
      </c>
    </row>
    <row r="129" spans="1:13" x14ac:dyDescent="0.3">
      <c r="A129" s="4">
        <v>46185.607920636576</v>
      </c>
      <c r="B129" s="4">
        <v>23</v>
      </c>
      <c r="C129" s="4" t="s">
        <v>40</v>
      </c>
      <c r="D129" s="4">
        <v>5.9</v>
      </c>
      <c r="E129" s="4" t="s">
        <v>34</v>
      </c>
      <c r="F129" s="4">
        <v>9.1</v>
      </c>
      <c r="G129" s="4" t="s">
        <v>16</v>
      </c>
      <c r="H129" s="4" t="s">
        <v>51</v>
      </c>
      <c r="I129" s="4">
        <v>1.4</v>
      </c>
      <c r="J129" s="4">
        <v>3</v>
      </c>
      <c r="K129" s="4" t="s">
        <v>33</v>
      </c>
      <c r="L129" s="4" t="s">
        <v>30</v>
      </c>
      <c r="M129" s="4" t="s">
        <v>30</v>
      </c>
    </row>
    <row r="130" spans="1:13" x14ac:dyDescent="0.3">
      <c r="A130" s="4">
        <v>46185.607942465278</v>
      </c>
      <c r="B130" s="4">
        <v>27</v>
      </c>
      <c r="C130" s="4" t="s">
        <v>40</v>
      </c>
      <c r="D130" s="4">
        <v>4.0999999999999996</v>
      </c>
      <c r="E130" s="4" t="s">
        <v>34</v>
      </c>
      <c r="F130" s="4">
        <v>6.4</v>
      </c>
      <c r="G130" s="4" t="s">
        <v>38</v>
      </c>
      <c r="H130" s="4"/>
      <c r="I130" s="4">
        <v>3.4</v>
      </c>
      <c r="J130" s="4">
        <v>4</v>
      </c>
      <c r="K130" s="4" t="s">
        <v>29</v>
      </c>
      <c r="L130" s="4" t="s">
        <v>19</v>
      </c>
      <c r="M130" s="4" t="s">
        <v>30</v>
      </c>
    </row>
    <row r="131" spans="1:13" x14ac:dyDescent="0.3">
      <c r="A131" s="4">
        <v>46185.607965509262</v>
      </c>
      <c r="B131" s="4">
        <v>21</v>
      </c>
      <c r="C131" s="4" t="s">
        <v>40</v>
      </c>
      <c r="D131" s="4">
        <v>6.7</v>
      </c>
      <c r="E131" s="4" t="s">
        <v>34</v>
      </c>
      <c r="F131" s="4">
        <v>13.7</v>
      </c>
      <c r="G131" s="4" t="s">
        <v>28</v>
      </c>
      <c r="H131" s="4"/>
      <c r="I131" s="4">
        <v>3</v>
      </c>
      <c r="J131" s="4">
        <v>1</v>
      </c>
      <c r="K131" s="4" t="s">
        <v>39</v>
      </c>
      <c r="L131" s="4" t="s">
        <v>45</v>
      </c>
      <c r="M131" s="4" t="s">
        <v>30</v>
      </c>
    </row>
    <row r="132" spans="1:13" x14ac:dyDescent="0.3">
      <c r="A132" s="4">
        <v>46185.607990891207</v>
      </c>
      <c r="B132" s="4">
        <v>17</v>
      </c>
      <c r="C132" s="4" t="s">
        <v>14</v>
      </c>
      <c r="D132" s="4">
        <v>2.6</v>
      </c>
      <c r="E132" s="4" t="s">
        <v>42</v>
      </c>
      <c r="F132" s="4">
        <v>12.2</v>
      </c>
      <c r="G132" s="4" t="s">
        <v>28</v>
      </c>
      <c r="H132" s="4"/>
      <c r="I132" s="4">
        <v>3.9</v>
      </c>
      <c r="J132" s="4">
        <v>1</v>
      </c>
      <c r="K132" s="4" t="s">
        <v>29</v>
      </c>
      <c r="L132" s="4" t="s">
        <v>45</v>
      </c>
      <c r="M132" s="4" t="s">
        <v>45</v>
      </c>
    </row>
    <row r="133" spans="1:13" x14ac:dyDescent="0.3">
      <c r="A133" s="4">
        <v>46185.608010462965</v>
      </c>
      <c r="B133" s="4">
        <v>22</v>
      </c>
      <c r="C133" s="4" t="s">
        <v>22</v>
      </c>
      <c r="D133" s="4">
        <v>5.2</v>
      </c>
      <c r="E133" s="4" t="s">
        <v>15</v>
      </c>
      <c r="F133" s="4">
        <v>8.1999999999999993</v>
      </c>
      <c r="G133" s="4" t="s">
        <v>43</v>
      </c>
      <c r="H133" s="4"/>
      <c r="I133" s="4">
        <v>7.3</v>
      </c>
      <c r="J133" s="4">
        <v>4</v>
      </c>
      <c r="K133" s="4" t="s">
        <v>33</v>
      </c>
      <c r="L133" s="4" t="s">
        <v>30</v>
      </c>
      <c r="M133" s="4" t="s">
        <v>45</v>
      </c>
    </row>
    <row r="134" spans="1:13" x14ac:dyDescent="0.3">
      <c r="A134" s="4">
        <v>46185.608029525465</v>
      </c>
      <c r="B134" s="4">
        <v>29</v>
      </c>
      <c r="C134" s="4" t="s">
        <v>40</v>
      </c>
      <c r="D134" s="4">
        <v>8.1</v>
      </c>
      <c r="E134" s="4" t="s">
        <v>23</v>
      </c>
      <c r="F134" s="4">
        <v>11.9</v>
      </c>
      <c r="G134" s="4" t="s">
        <v>38</v>
      </c>
      <c r="H134" s="4"/>
      <c r="I134" s="4">
        <v>1.8</v>
      </c>
      <c r="J134" s="4">
        <v>7</v>
      </c>
      <c r="K134" s="4" t="s">
        <v>39</v>
      </c>
      <c r="L134" s="4" t="s">
        <v>25</v>
      </c>
      <c r="M134" s="4" t="s">
        <v>20</v>
      </c>
    </row>
    <row r="135" spans="1:13" x14ac:dyDescent="0.3">
      <c r="A135" s="4">
        <v>46185.60805815972</v>
      </c>
      <c r="B135" s="4">
        <v>19</v>
      </c>
      <c r="C135" s="4" t="s">
        <v>22</v>
      </c>
      <c r="D135" s="4">
        <v>5.4</v>
      </c>
      <c r="E135" s="4" t="s">
        <v>15</v>
      </c>
      <c r="F135" s="4">
        <v>11.8</v>
      </c>
      <c r="G135" s="4" t="s">
        <v>16</v>
      </c>
      <c r="H135" s="4" t="s">
        <v>50</v>
      </c>
      <c r="I135" s="4">
        <v>3.3</v>
      </c>
      <c r="J135" s="4">
        <v>1</v>
      </c>
      <c r="K135" s="4" t="s">
        <v>18</v>
      </c>
      <c r="L135" s="4" t="s">
        <v>19</v>
      </c>
      <c r="M135" s="4" t="s">
        <v>45</v>
      </c>
    </row>
    <row r="136" spans="1:13" x14ac:dyDescent="0.3">
      <c r="A136" s="4">
        <v>46185.608079189813</v>
      </c>
      <c r="B136" s="4">
        <v>35</v>
      </c>
      <c r="C136" s="4" t="s">
        <v>22</v>
      </c>
      <c r="D136" s="4">
        <v>9.6</v>
      </c>
      <c r="E136" s="4" t="s">
        <v>37</v>
      </c>
      <c r="F136" s="4">
        <v>8.4</v>
      </c>
      <c r="G136" s="4" t="s">
        <v>47</v>
      </c>
      <c r="H136" s="4"/>
      <c r="I136" s="4">
        <v>5.8</v>
      </c>
      <c r="J136" s="4">
        <v>3</v>
      </c>
      <c r="K136" s="4" t="s">
        <v>29</v>
      </c>
      <c r="L136" s="4" t="s">
        <v>19</v>
      </c>
      <c r="M136" s="4" t="s">
        <v>30</v>
      </c>
    </row>
    <row r="137" spans="1:13" x14ac:dyDescent="0.3">
      <c r="A137" s="4">
        <v>46185.608106087966</v>
      </c>
      <c r="B137" s="4">
        <v>35</v>
      </c>
      <c r="C137" s="4" t="s">
        <v>14</v>
      </c>
      <c r="D137" s="4">
        <v>9.6</v>
      </c>
      <c r="E137" s="4" t="s">
        <v>37</v>
      </c>
      <c r="F137" s="4">
        <v>5.0999999999999996</v>
      </c>
      <c r="G137" s="4" t="s">
        <v>35</v>
      </c>
      <c r="H137" s="4"/>
      <c r="I137" s="4">
        <v>7.9</v>
      </c>
      <c r="J137" s="4">
        <v>4</v>
      </c>
      <c r="K137" s="4" t="s">
        <v>18</v>
      </c>
      <c r="L137" s="4" t="s">
        <v>19</v>
      </c>
      <c r="M137" s="4" t="s">
        <v>36</v>
      </c>
    </row>
    <row r="138" spans="1:13" x14ac:dyDescent="0.3">
      <c r="A138" s="4">
        <v>46185.608134710652</v>
      </c>
      <c r="B138" s="4">
        <v>28</v>
      </c>
      <c r="C138" s="4" t="s">
        <v>22</v>
      </c>
      <c r="D138" s="4">
        <v>6.4</v>
      </c>
      <c r="E138" s="4" t="s">
        <v>27</v>
      </c>
      <c r="F138" s="4">
        <v>11.8</v>
      </c>
      <c r="G138" s="4" t="s">
        <v>16</v>
      </c>
      <c r="H138" s="4" t="s">
        <v>51</v>
      </c>
      <c r="I138" s="4">
        <v>5.9</v>
      </c>
      <c r="J138" s="4">
        <v>8</v>
      </c>
      <c r="K138" s="4" t="s">
        <v>33</v>
      </c>
      <c r="L138" s="4" t="s">
        <v>25</v>
      </c>
      <c r="M138" s="4" t="s">
        <v>20</v>
      </c>
    </row>
    <row r="139" spans="1:13" x14ac:dyDescent="0.3">
      <c r="A139" s="4">
        <v>46185.608163819445</v>
      </c>
      <c r="B139" s="4">
        <v>28</v>
      </c>
      <c r="C139" s="4" t="s">
        <v>14</v>
      </c>
      <c r="D139" s="4">
        <v>6.9</v>
      </c>
      <c r="E139" s="4" t="s">
        <v>44</v>
      </c>
      <c r="F139" s="4">
        <v>6.2</v>
      </c>
      <c r="G139" s="4" t="s">
        <v>28</v>
      </c>
      <c r="H139" s="4"/>
      <c r="I139" s="4">
        <v>4.3</v>
      </c>
      <c r="J139" s="4">
        <v>1</v>
      </c>
      <c r="K139" s="4" t="s">
        <v>18</v>
      </c>
      <c r="L139" s="4" t="s">
        <v>45</v>
      </c>
      <c r="M139" s="4" t="s">
        <v>20</v>
      </c>
    </row>
    <row r="140" spans="1:13" x14ac:dyDescent="0.3">
      <c r="A140" s="4">
        <v>46185.608191504631</v>
      </c>
      <c r="B140" s="4">
        <v>21</v>
      </c>
      <c r="C140" s="4" t="s">
        <v>40</v>
      </c>
      <c r="D140" s="4">
        <v>3.4</v>
      </c>
      <c r="E140" s="4" t="s">
        <v>42</v>
      </c>
      <c r="F140" s="4">
        <v>13.9</v>
      </c>
      <c r="G140" s="4" t="s">
        <v>28</v>
      </c>
      <c r="H140" s="4"/>
      <c r="I140" s="4">
        <v>4.2</v>
      </c>
      <c r="J140" s="4">
        <v>9</v>
      </c>
      <c r="K140" s="4" t="s">
        <v>18</v>
      </c>
      <c r="L140" s="4" t="s">
        <v>19</v>
      </c>
      <c r="M140" s="4" t="s">
        <v>30</v>
      </c>
    </row>
    <row r="141" spans="1:13" x14ac:dyDescent="0.3">
      <c r="A141" s="4">
        <v>46185.608208391204</v>
      </c>
      <c r="B141" s="4">
        <v>28</v>
      </c>
      <c r="C141" s="4" t="s">
        <v>40</v>
      </c>
      <c r="D141" s="4">
        <v>4.5</v>
      </c>
      <c r="E141" s="4" t="s">
        <v>34</v>
      </c>
      <c r="F141" s="4">
        <v>4.5</v>
      </c>
      <c r="G141" s="4" t="s">
        <v>32</v>
      </c>
      <c r="H141" s="4"/>
      <c r="I141" s="4">
        <v>3.4</v>
      </c>
      <c r="J141" s="4">
        <v>7</v>
      </c>
      <c r="K141" s="4" t="s">
        <v>29</v>
      </c>
      <c r="L141" s="4" t="s">
        <v>25</v>
      </c>
      <c r="M141" s="4" t="s">
        <v>45</v>
      </c>
    </row>
    <row r="142" spans="1:13" x14ac:dyDescent="0.3">
      <c r="A142" s="4">
        <v>46185.608234756946</v>
      </c>
      <c r="B142" s="4">
        <v>17</v>
      </c>
      <c r="C142" s="4" t="s">
        <v>22</v>
      </c>
      <c r="D142" s="4">
        <v>6.9</v>
      </c>
      <c r="E142" s="4" t="s">
        <v>27</v>
      </c>
      <c r="F142" s="4">
        <v>7.1</v>
      </c>
      <c r="G142" s="4" t="s">
        <v>46</v>
      </c>
      <c r="H142" s="4"/>
      <c r="I142" s="4">
        <v>1.4</v>
      </c>
      <c r="J142" s="4">
        <v>7</v>
      </c>
      <c r="K142" s="4" t="s">
        <v>29</v>
      </c>
      <c r="L142" s="4" t="s">
        <v>25</v>
      </c>
      <c r="M142" s="4" t="s">
        <v>45</v>
      </c>
    </row>
    <row r="143" spans="1:13" x14ac:dyDescent="0.3">
      <c r="A143" s="4">
        <v>46185.608264618058</v>
      </c>
      <c r="B143" s="4">
        <v>28</v>
      </c>
      <c r="C143" s="4" t="s">
        <v>22</v>
      </c>
      <c r="D143" s="4">
        <v>4</v>
      </c>
      <c r="E143" s="4" t="s">
        <v>15</v>
      </c>
      <c r="F143" s="4">
        <v>9.4</v>
      </c>
      <c r="G143" s="4" t="s">
        <v>46</v>
      </c>
      <c r="H143" s="4"/>
      <c r="I143" s="4">
        <v>4.7</v>
      </c>
      <c r="J143" s="4">
        <v>6</v>
      </c>
      <c r="K143" s="4" t="s">
        <v>39</v>
      </c>
      <c r="L143" s="4" t="s">
        <v>19</v>
      </c>
      <c r="M143" s="4" t="s">
        <v>30</v>
      </c>
    </row>
    <row r="144" spans="1:13" x14ac:dyDescent="0.3">
      <c r="A144" s="4">
        <v>46185.608284861111</v>
      </c>
      <c r="B144" s="4">
        <v>29</v>
      </c>
      <c r="C144" s="4" t="s">
        <v>40</v>
      </c>
      <c r="D144" s="4">
        <v>7.3</v>
      </c>
      <c r="E144" s="4" t="s">
        <v>15</v>
      </c>
      <c r="F144" s="4">
        <v>6.6</v>
      </c>
      <c r="G144" s="4" t="s">
        <v>38</v>
      </c>
      <c r="H144" s="4"/>
      <c r="I144" s="4">
        <v>6.6</v>
      </c>
      <c r="J144" s="4">
        <v>1</v>
      </c>
      <c r="K144" s="4" t="s">
        <v>18</v>
      </c>
      <c r="L144" s="4" t="s">
        <v>30</v>
      </c>
      <c r="M144" s="4" t="s">
        <v>20</v>
      </c>
    </row>
    <row r="145" spans="1:13" x14ac:dyDescent="0.3">
      <c r="A145" s="4">
        <v>46185.608312534721</v>
      </c>
      <c r="B145" s="4">
        <v>25</v>
      </c>
      <c r="C145" s="4" t="s">
        <v>14</v>
      </c>
      <c r="D145" s="4">
        <v>9.5</v>
      </c>
      <c r="E145" s="4" t="s">
        <v>23</v>
      </c>
      <c r="F145" s="4">
        <v>12.6</v>
      </c>
      <c r="G145" s="4" t="s">
        <v>41</v>
      </c>
      <c r="H145" s="4"/>
      <c r="I145" s="4">
        <v>6.5</v>
      </c>
      <c r="J145" s="4">
        <v>9</v>
      </c>
      <c r="K145" s="4" t="s">
        <v>29</v>
      </c>
      <c r="L145" s="4" t="s">
        <v>45</v>
      </c>
      <c r="M145" s="4" t="s">
        <v>36</v>
      </c>
    </row>
    <row r="146" spans="1:13" x14ac:dyDescent="0.3">
      <c r="A146" s="4">
        <v>46185.608332754629</v>
      </c>
      <c r="B146" s="4">
        <v>35</v>
      </c>
      <c r="C146" s="4" t="s">
        <v>22</v>
      </c>
      <c r="D146" s="4">
        <v>5.9</v>
      </c>
      <c r="E146" s="4" t="s">
        <v>34</v>
      </c>
      <c r="F146" s="4">
        <v>9.3000000000000007</v>
      </c>
      <c r="G146" s="4" t="s">
        <v>28</v>
      </c>
      <c r="H146" s="4"/>
      <c r="I146" s="4">
        <v>8</v>
      </c>
      <c r="J146" s="4">
        <v>2</v>
      </c>
      <c r="K146" s="4" t="s">
        <v>29</v>
      </c>
      <c r="L146" s="4" t="s">
        <v>19</v>
      </c>
      <c r="M146" s="4" t="s">
        <v>30</v>
      </c>
    </row>
    <row r="147" spans="1:13" x14ac:dyDescent="0.3">
      <c r="A147" s="4">
        <v>46185.608356817131</v>
      </c>
      <c r="B147" s="4">
        <v>20</v>
      </c>
      <c r="C147" s="4" t="s">
        <v>14</v>
      </c>
      <c r="D147" s="4">
        <v>2.4</v>
      </c>
      <c r="E147" s="4" t="s">
        <v>23</v>
      </c>
      <c r="F147" s="4">
        <v>7.7</v>
      </c>
      <c r="G147" s="4" t="s">
        <v>28</v>
      </c>
      <c r="H147" s="4"/>
      <c r="I147" s="4">
        <v>6.6</v>
      </c>
      <c r="J147" s="4">
        <v>9</v>
      </c>
      <c r="K147" s="4" t="s">
        <v>29</v>
      </c>
      <c r="L147" s="4" t="s">
        <v>45</v>
      </c>
      <c r="M147" s="4" t="s">
        <v>20</v>
      </c>
    </row>
    <row r="148" spans="1:13" x14ac:dyDescent="0.3">
      <c r="A148" s="4">
        <v>46185.608375185184</v>
      </c>
      <c r="B148" s="4">
        <v>29</v>
      </c>
      <c r="C148" s="4" t="s">
        <v>22</v>
      </c>
      <c r="D148" s="4">
        <v>7.1</v>
      </c>
      <c r="E148" s="4" t="s">
        <v>15</v>
      </c>
      <c r="F148" s="4">
        <v>6.8</v>
      </c>
      <c r="G148" s="4" t="s">
        <v>46</v>
      </c>
      <c r="H148" s="4"/>
      <c r="I148" s="4">
        <v>6.3</v>
      </c>
      <c r="J148" s="4">
        <v>1</v>
      </c>
      <c r="K148" s="4" t="s">
        <v>18</v>
      </c>
      <c r="L148" s="4" t="s">
        <v>30</v>
      </c>
      <c r="M148" s="4" t="s">
        <v>30</v>
      </c>
    </row>
    <row r="149" spans="1:13" x14ac:dyDescent="0.3">
      <c r="A149" s="4">
        <v>46185.608395254632</v>
      </c>
      <c r="B149" s="4">
        <v>33</v>
      </c>
      <c r="C149" s="4" t="s">
        <v>22</v>
      </c>
      <c r="D149" s="4">
        <v>3.2</v>
      </c>
      <c r="E149" s="4" t="s">
        <v>27</v>
      </c>
      <c r="F149" s="4">
        <v>8.6</v>
      </c>
      <c r="G149" s="4" t="s">
        <v>47</v>
      </c>
      <c r="H149" s="4"/>
      <c r="I149" s="4">
        <v>2</v>
      </c>
      <c r="J149" s="4">
        <v>6</v>
      </c>
      <c r="K149" s="4" t="s">
        <v>33</v>
      </c>
      <c r="L149" s="4" t="s">
        <v>19</v>
      </c>
      <c r="M149" s="4" t="s">
        <v>36</v>
      </c>
    </row>
    <row r="150" spans="1:13" x14ac:dyDescent="0.3">
      <c r="A150" s="4">
        <v>46185.608413564813</v>
      </c>
      <c r="B150" s="4">
        <v>27</v>
      </c>
      <c r="C150" s="4" t="s">
        <v>40</v>
      </c>
      <c r="D150" s="4">
        <v>2.2000000000000002</v>
      </c>
      <c r="E150" s="4" t="s">
        <v>27</v>
      </c>
      <c r="F150" s="4">
        <v>8.6</v>
      </c>
      <c r="G150" s="4" t="s">
        <v>32</v>
      </c>
      <c r="H150" s="4"/>
      <c r="I150" s="4">
        <v>4.8</v>
      </c>
      <c r="J150" s="4">
        <v>8</v>
      </c>
      <c r="K150" s="4" t="s">
        <v>18</v>
      </c>
      <c r="L150" s="4" t="s">
        <v>30</v>
      </c>
      <c r="M150" s="4" t="s">
        <v>36</v>
      </c>
    </row>
    <row r="151" spans="1:13" x14ac:dyDescent="0.3">
      <c r="A151" s="4">
        <v>46185.608437002316</v>
      </c>
      <c r="B151" s="4">
        <v>35</v>
      </c>
      <c r="C151" s="4" t="s">
        <v>40</v>
      </c>
      <c r="D151" s="4">
        <v>4</v>
      </c>
      <c r="E151" s="4" t="s">
        <v>42</v>
      </c>
      <c r="F151" s="4">
        <v>4.9000000000000004</v>
      </c>
      <c r="G151" s="4" t="s">
        <v>41</v>
      </c>
      <c r="H151" s="4"/>
      <c r="I151" s="4">
        <v>5.5</v>
      </c>
      <c r="J151" s="4">
        <v>5</v>
      </c>
      <c r="K151" s="4" t="s">
        <v>33</v>
      </c>
      <c r="L151" s="4" t="s">
        <v>45</v>
      </c>
      <c r="M151" s="4" t="s">
        <v>30</v>
      </c>
    </row>
    <row r="152" spans="1:13" x14ac:dyDescent="0.3">
      <c r="A152" s="4">
        <v>46185.608464502315</v>
      </c>
      <c r="B152" s="4">
        <v>24</v>
      </c>
      <c r="C152" s="4" t="s">
        <v>22</v>
      </c>
      <c r="D152" s="4">
        <v>7</v>
      </c>
      <c r="E152" s="4" t="s">
        <v>23</v>
      </c>
      <c r="F152" s="4">
        <v>12.1</v>
      </c>
      <c r="G152" s="4" t="s">
        <v>16</v>
      </c>
      <c r="H152" s="4" t="s">
        <v>48</v>
      </c>
      <c r="I152" s="4">
        <v>7</v>
      </c>
      <c r="J152" s="4">
        <v>6</v>
      </c>
      <c r="K152" s="4" t="s">
        <v>29</v>
      </c>
      <c r="L152" s="4" t="s">
        <v>45</v>
      </c>
      <c r="M152" s="4" t="s">
        <v>45</v>
      </c>
    </row>
    <row r="153" spans="1:13" x14ac:dyDescent="0.3">
      <c r="A153" s="4">
        <v>46185.608489479171</v>
      </c>
      <c r="B153" s="4">
        <v>32</v>
      </c>
      <c r="C153" s="4" t="s">
        <v>40</v>
      </c>
      <c r="D153" s="4">
        <v>8.9</v>
      </c>
      <c r="E153" s="4" t="s">
        <v>37</v>
      </c>
      <c r="F153" s="4">
        <v>13</v>
      </c>
      <c r="G153" s="4" t="s">
        <v>41</v>
      </c>
      <c r="H153" s="4"/>
      <c r="I153" s="4">
        <v>6.2</v>
      </c>
      <c r="J153" s="4">
        <v>4</v>
      </c>
      <c r="K153" s="4" t="s">
        <v>29</v>
      </c>
      <c r="L153" s="4" t="s">
        <v>19</v>
      </c>
      <c r="M153" s="4" t="s">
        <v>36</v>
      </c>
    </row>
    <row r="154" spans="1:13" x14ac:dyDescent="0.3">
      <c r="A154" s="4">
        <v>46185.608512893523</v>
      </c>
      <c r="B154" s="4">
        <v>16</v>
      </c>
      <c r="C154" s="4" t="s">
        <v>22</v>
      </c>
      <c r="D154" s="4">
        <v>9.1999999999999993</v>
      </c>
      <c r="E154" s="4" t="s">
        <v>44</v>
      </c>
      <c r="F154" s="4">
        <v>4.8</v>
      </c>
      <c r="G154" s="4" t="s">
        <v>41</v>
      </c>
      <c r="H154" s="4"/>
      <c r="I154" s="4">
        <v>4.9000000000000004</v>
      </c>
      <c r="J154" s="4">
        <v>6</v>
      </c>
      <c r="K154" s="4" t="s">
        <v>33</v>
      </c>
      <c r="L154" s="4" t="s">
        <v>25</v>
      </c>
      <c r="M154" s="4" t="s">
        <v>20</v>
      </c>
    </row>
    <row r="155" spans="1:13" x14ac:dyDescent="0.3">
      <c r="A155" s="4">
        <v>46185.608532997685</v>
      </c>
      <c r="B155" s="4">
        <v>24</v>
      </c>
      <c r="C155" s="4" t="s">
        <v>40</v>
      </c>
      <c r="D155" s="4">
        <v>5</v>
      </c>
      <c r="E155" s="4" t="s">
        <v>44</v>
      </c>
      <c r="F155" s="4">
        <v>8.6</v>
      </c>
      <c r="G155" s="4" t="s">
        <v>47</v>
      </c>
      <c r="H155" s="4"/>
      <c r="I155" s="4">
        <v>3.1</v>
      </c>
      <c r="J155" s="4">
        <v>9</v>
      </c>
      <c r="K155" s="4" t="s">
        <v>39</v>
      </c>
      <c r="L155" s="4" t="s">
        <v>19</v>
      </c>
      <c r="M155" s="4" t="s">
        <v>30</v>
      </c>
    </row>
    <row r="156" spans="1:13" x14ac:dyDescent="0.3">
      <c r="A156" s="4">
        <v>46185.608559293978</v>
      </c>
      <c r="B156" s="4">
        <v>30</v>
      </c>
      <c r="C156" s="4" t="s">
        <v>14</v>
      </c>
      <c r="D156" s="4">
        <v>8.1</v>
      </c>
      <c r="E156" s="4" t="s">
        <v>44</v>
      </c>
      <c r="F156" s="4">
        <v>7.3</v>
      </c>
      <c r="G156" s="4" t="s">
        <v>35</v>
      </c>
      <c r="H156" s="4"/>
      <c r="I156" s="4">
        <v>3.8</v>
      </c>
      <c r="J156" s="4">
        <v>7</v>
      </c>
      <c r="K156" s="4" t="s">
        <v>33</v>
      </c>
      <c r="L156" s="4" t="s">
        <v>45</v>
      </c>
      <c r="M156" s="4" t="s">
        <v>45</v>
      </c>
    </row>
    <row r="157" spans="1:13" x14ac:dyDescent="0.3">
      <c r="A157" s="4">
        <v>46185.608577222221</v>
      </c>
      <c r="B157" s="4">
        <v>25</v>
      </c>
      <c r="C157" s="4" t="s">
        <v>14</v>
      </c>
      <c r="D157" s="4">
        <v>5.6</v>
      </c>
      <c r="E157" s="4" t="s">
        <v>34</v>
      </c>
      <c r="F157" s="4">
        <v>4.4000000000000004</v>
      </c>
      <c r="G157" s="4" t="s">
        <v>38</v>
      </c>
      <c r="H157" s="4"/>
      <c r="I157" s="4">
        <v>4.8</v>
      </c>
      <c r="J157" s="4">
        <v>5</v>
      </c>
      <c r="K157" s="4" t="s">
        <v>33</v>
      </c>
      <c r="L157" s="4" t="s">
        <v>19</v>
      </c>
      <c r="M157" s="4" t="s">
        <v>36</v>
      </c>
    </row>
    <row r="158" spans="1:13" x14ac:dyDescent="0.3">
      <c r="A158" s="4">
        <v>46185.608602534718</v>
      </c>
      <c r="B158" s="4">
        <v>30</v>
      </c>
      <c r="C158" s="4" t="s">
        <v>22</v>
      </c>
      <c r="D158" s="4">
        <v>7.6</v>
      </c>
      <c r="E158" s="4" t="s">
        <v>42</v>
      </c>
      <c r="F158" s="4">
        <v>11.5</v>
      </c>
      <c r="G158" s="4" t="s">
        <v>41</v>
      </c>
      <c r="H158" s="4"/>
      <c r="I158" s="4">
        <v>5.6</v>
      </c>
      <c r="J158" s="4">
        <v>9</v>
      </c>
      <c r="K158" s="4" t="s">
        <v>33</v>
      </c>
      <c r="L158" s="4" t="s">
        <v>30</v>
      </c>
      <c r="M158" s="4" t="s">
        <v>20</v>
      </c>
    </row>
    <row r="159" spans="1:13" x14ac:dyDescent="0.3">
      <c r="A159" s="4">
        <v>46185.608629259259</v>
      </c>
      <c r="B159" s="4">
        <v>33</v>
      </c>
      <c r="C159" s="4" t="s">
        <v>14</v>
      </c>
      <c r="D159" s="4">
        <v>8.8000000000000007</v>
      </c>
      <c r="E159" s="4" t="s">
        <v>37</v>
      </c>
      <c r="F159" s="4">
        <v>8.1</v>
      </c>
      <c r="G159" s="4" t="s">
        <v>46</v>
      </c>
      <c r="H159" s="4"/>
      <c r="I159" s="4">
        <v>3</v>
      </c>
      <c r="J159" s="4">
        <v>1</v>
      </c>
      <c r="K159" s="4" t="s">
        <v>39</v>
      </c>
      <c r="L159" s="4" t="s">
        <v>25</v>
      </c>
      <c r="M159" s="4" t="s">
        <v>36</v>
      </c>
    </row>
    <row r="160" spans="1:13" ht="28.8" x14ac:dyDescent="0.3">
      <c r="A160" s="4">
        <v>46185.608658506942</v>
      </c>
      <c r="B160" s="4">
        <v>17</v>
      </c>
      <c r="C160" s="4" t="s">
        <v>14</v>
      </c>
      <c r="D160" s="4">
        <v>3</v>
      </c>
      <c r="E160" s="4" t="s">
        <v>42</v>
      </c>
      <c r="F160" s="4">
        <v>7.6</v>
      </c>
      <c r="G160" s="4" t="s">
        <v>24</v>
      </c>
      <c r="H160" s="4"/>
      <c r="I160" s="4">
        <v>5.4</v>
      </c>
      <c r="J160" s="4">
        <v>9</v>
      </c>
      <c r="K160" s="4" t="s">
        <v>29</v>
      </c>
      <c r="L160" s="4" t="s">
        <v>25</v>
      </c>
      <c r="M160" s="4" t="s">
        <v>36</v>
      </c>
    </row>
    <row r="161" spans="1:13" x14ac:dyDescent="0.3">
      <c r="A161" s="4">
        <v>46185.608691620371</v>
      </c>
      <c r="B161" s="4">
        <v>33</v>
      </c>
      <c r="C161" s="4" t="s">
        <v>14</v>
      </c>
      <c r="D161" s="4">
        <v>5.6</v>
      </c>
      <c r="E161" s="4" t="s">
        <v>37</v>
      </c>
      <c r="F161" s="4">
        <v>11</v>
      </c>
      <c r="G161" s="4" t="s">
        <v>16</v>
      </c>
      <c r="H161" s="4" t="s">
        <v>52</v>
      </c>
      <c r="I161" s="4">
        <v>5</v>
      </c>
      <c r="J161" s="4">
        <v>6</v>
      </c>
      <c r="K161" s="4" t="s">
        <v>39</v>
      </c>
      <c r="L161" s="4" t="s">
        <v>19</v>
      </c>
      <c r="M161" s="4" t="s">
        <v>36</v>
      </c>
    </row>
    <row r="162" spans="1:13" x14ac:dyDescent="0.3">
      <c r="A162" s="4">
        <v>46185.608715706017</v>
      </c>
      <c r="B162" s="4">
        <v>17</v>
      </c>
      <c r="C162" s="4" t="s">
        <v>40</v>
      </c>
      <c r="D162" s="4">
        <v>2.2000000000000002</v>
      </c>
      <c r="E162" s="4" t="s">
        <v>42</v>
      </c>
      <c r="F162" s="4">
        <v>12.5</v>
      </c>
      <c r="G162" s="4" t="s">
        <v>38</v>
      </c>
      <c r="H162" s="4"/>
      <c r="I162" s="4">
        <v>5.9</v>
      </c>
      <c r="J162" s="4">
        <v>3</v>
      </c>
      <c r="K162" s="4" t="s">
        <v>39</v>
      </c>
      <c r="L162" s="4" t="s">
        <v>19</v>
      </c>
      <c r="M162" s="4" t="s">
        <v>36</v>
      </c>
    </row>
    <row r="163" spans="1:13" x14ac:dyDescent="0.3">
      <c r="A163" s="4">
        <v>46185.608743518518</v>
      </c>
      <c r="B163" s="4">
        <v>32</v>
      </c>
      <c r="C163" s="4" t="s">
        <v>40</v>
      </c>
      <c r="D163" s="4">
        <v>3.9</v>
      </c>
      <c r="E163" s="4" t="s">
        <v>34</v>
      </c>
      <c r="F163" s="4">
        <v>4.7</v>
      </c>
      <c r="G163" s="4" t="s">
        <v>32</v>
      </c>
      <c r="H163" s="4"/>
      <c r="I163" s="4">
        <v>1.6</v>
      </c>
      <c r="J163" s="4">
        <v>2</v>
      </c>
      <c r="K163" s="4" t="s">
        <v>33</v>
      </c>
      <c r="L163" s="4" t="s">
        <v>45</v>
      </c>
      <c r="M163" s="4" t="s">
        <v>45</v>
      </c>
    </row>
    <row r="164" spans="1:13" x14ac:dyDescent="0.3">
      <c r="A164" s="4">
        <v>46185.608770509258</v>
      </c>
      <c r="B164" s="4">
        <v>26</v>
      </c>
      <c r="C164" s="4" t="s">
        <v>40</v>
      </c>
      <c r="D164" s="4">
        <v>6.4</v>
      </c>
      <c r="E164" s="4" t="s">
        <v>23</v>
      </c>
      <c r="F164" s="4">
        <v>12.3</v>
      </c>
      <c r="G164" s="4" t="s">
        <v>38</v>
      </c>
      <c r="H164" s="4"/>
      <c r="I164" s="4">
        <v>4.9000000000000004</v>
      </c>
      <c r="J164" s="4">
        <v>7</v>
      </c>
      <c r="K164" s="4" t="s">
        <v>29</v>
      </c>
      <c r="L164" s="4" t="s">
        <v>19</v>
      </c>
      <c r="M164" s="4" t="s">
        <v>30</v>
      </c>
    </row>
    <row r="165" spans="1:13" x14ac:dyDescent="0.3">
      <c r="A165" s="4">
        <v>46185.608789375001</v>
      </c>
      <c r="B165" s="4">
        <v>28</v>
      </c>
      <c r="C165" s="4" t="s">
        <v>22</v>
      </c>
      <c r="D165" s="4">
        <v>10</v>
      </c>
      <c r="E165" s="4" t="s">
        <v>42</v>
      </c>
      <c r="F165" s="4">
        <v>10.199999999999999</v>
      </c>
      <c r="G165" s="4" t="s">
        <v>47</v>
      </c>
      <c r="H165" s="4"/>
      <c r="I165" s="4">
        <v>4.4000000000000004</v>
      </c>
      <c r="J165" s="4">
        <v>8</v>
      </c>
      <c r="K165" s="4" t="s">
        <v>33</v>
      </c>
      <c r="L165" s="4" t="s">
        <v>45</v>
      </c>
      <c r="M165" s="4" t="s">
        <v>20</v>
      </c>
    </row>
    <row r="166" spans="1:13" x14ac:dyDescent="0.3">
      <c r="A166" s="4">
        <v>46185.608807002311</v>
      </c>
      <c r="B166" s="4">
        <v>30</v>
      </c>
      <c r="C166" s="4" t="s">
        <v>40</v>
      </c>
      <c r="D166" s="4">
        <v>4</v>
      </c>
      <c r="E166" s="4" t="s">
        <v>15</v>
      </c>
      <c r="F166" s="4">
        <v>10.8</v>
      </c>
      <c r="G166" s="4" t="s">
        <v>38</v>
      </c>
      <c r="H166" s="4"/>
      <c r="I166" s="4">
        <v>1.7</v>
      </c>
      <c r="J166" s="4">
        <v>4</v>
      </c>
      <c r="K166" s="4" t="s">
        <v>39</v>
      </c>
      <c r="L166" s="4" t="s">
        <v>30</v>
      </c>
      <c r="M166" s="4" t="s">
        <v>30</v>
      </c>
    </row>
    <row r="167" spans="1:13" x14ac:dyDescent="0.3">
      <c r="A167" s="4">
        <v>46185.608836678242</v>
      </c>
      <c r="B167" s="4">
        <v>31</v>
      </c>
      <c r="C167" s="4" t="s">
        <v>22</v>
      </c>
      <c r="D167" s="4">
        <v>6.7</v>
      </c>
      <c r="E167" s="4" t="s">
        <v>15</v>
      </c>
      <c r="F167" s="4">
        <v>13.3</v>
      </c>
      <c r="G167" s="4" t="s">
        <v>47</v>
      </c>
      <c r="H167" s="4"/>
      <c r="I167" s="4">
        <v>5.0999999999999996</v>
      </c>
      <c r="J167" s="4">
        <v>9</v>
      </c>
      <c r="K167" s="4" t="s">
        <v>18</v>
      </c>
      <c r="L167" s="4" t="s">
        <v>25</v>
      </c>
      <c r="M167" s="4" t="s">
        <v>30</v>
      </c>
    </row>
    <row r="168" spans="1:13" ht="28.8" x14ac:dyDescent="0.3">
      <c r="A168" s="4">
        <v>46185.608855729166</v>
      </c>
      <c r="B168" s="4">
        <v>17</v>
      </c>
      <c r="C168" s="4" t="s">
        <v>22</v>
      </c>
      <c r="D168" s="4">
        <v>4.0999999999999996</v>
      </c>
      <c r="E168" s="4" t="s">
        <v>27</v>
      </c>
      <c r="F168" s="4">
        <v>10.4</v>
      </c>
      <c r="G168" s="4" t="s">
        <v>24</v>
      </c>
      <c r="H168" s="4"/>
      <c r="I168" s="4">
        <v>3.3</v>
      </c>
      <c r="J168" s="4">
        <v>4</v>
      </c>
      <c r="K168" s="4" t="s">
        <v>29</v>
      </c>
      <c r="L168" s="4" t="s">
        <v>30</v>
      </c>
      <c r="M168" s="4" t="s">
        <v>30</v>
      </c>
    </row>
    <row r="169" spans="1:13" x14ac:dyDescent="0.3">
      <c r="A169" s="4">
        <v>46185.608882928238</v>
      </c>
      <c r="B169" s="4">
        <v>25</v>
      </c>
      <c r="C169" s="4" t="s">
        <v>22</v>
      </c>
      <c r="D169" s="4">
        <v>8.6999999999999993</v>
      </c>
      <c r="E169" s="4" t="s">
        <v>34</v>
      </c>
      <c r="F169" s="4">
        <v>12.3</v>
      </c>
      <c r="G169" s="4" t="s">
        <v>41</v>
      </c>
      <c r="H169" s="4"/>
      <c r="I169" s="4">
        <v>4.3</v>
      </c>
      <c r="J169" s="4">
        <v>5</v>
      </c>
      <c r="K169" s="4" t="s">
        <v>33</v>
      </c>
      <c r="L169" s="4" t="s">
        <v>30</v>
      </c>
      <c r="M169" s="4" t="s">
        <v>36</v>
      </c>
    </row>
    <row r="170" spans="1:13" x14ac:dyDescent="0.3">
      <c r="A170" s="4">
        <v>46185.608908113427</v>
      </c>
      <c r="B170" s="4">
        <v>29</v>
      </c>
      <c r="C170" s="4" t="s">
        <v>22</v>
      </c>
      <c r="D170" s="4">
        <v>6</v>
      </c>
      <c r="E170" s="4" t="s">
        <v>44</v>
      </c>
      <c r="F170" s="4">
        <v>11.6</v>
      </c>
      <c r="G170" s="4" t="s">
        <v>46</v>
      </c>
      <c r="H170" s="4"/>
      <c r="I170" s="4">
        <v>1.9</v>
      </c>
      <c r="J170" s="4">
        <v>2</v>
      </c>
      <c r="K170" s="4" t="s">
        <v>33</v>
      </c>
      <c r="L170" s="4" t="s">
        <v>30</v>
      </c>
      <c r="M170" s="4" t="s">
        <v>45</v>
      </c>
    </row>
    <row r="171" spans="1:13" x14ac:dyDescent="0.3">
      <c r="A171" s="4">
        <v>46185.608927916663</v>
      </c>
      <c r="B171" s="4">
        <v>29</v>
      </c>
      <c r="C171" s="4" t="s">
        <v>22</v>
      </c>
      <c r="D171" s="4">
        <v>9.4</v>
      </c>
      <c r="E171" s="4" t="s">
        <v>23</v>
      </c>
      <c r="F171" s="4">
        <v>8</v>
      </c>
      <c r="G171" s="4" t="s">
        <v>28</v>
      </c>
      <c r="H171" s="4"/>
      <c r="I171" s="4">
        <v>6.9</v>
      </c>
      <c r="J171" s="4">
        <v>1</v>
      </c>
      <c r="K171" s="4" t="s">
        <v>33</v>
      </c>
      <c r="L171" s="4" t="s">
        <v>25</v>
      </c>
      <c r="M171" s="4" t="s">
        <v>20</v>
      </c>
    </row>
    <row r="172" spans="1:13" x14ac:dyDescent="0.3">
      <c r="A172" s="4">
        <v>46185.608951782408</v>
      </c>
      <c r="B172" s="4">
        <v>30</v>
      </c>
      <c r="C172" s="4" t="s">
        <v>40</v>
      </c>
      <c r="D172" s="4">
        <v>3.4</v>
      </c>
      <c r="E172" s="4" t="s">
        <v>37</v>
      </c>
      <c r="F172" s="4">
        <v>11.9</v>
      </c>
      <c r="G172" s="4" t="s">
        <v>16</v>
      </c>
      <c r="H172" s="4" t="s">
        <v>51</v>
      </c>
      <c r="I172" s="4">
        <v>2.8</v>
      </c>
      <c r="J172" s="4">
        <v>7</v>
      </c>
      <c r="K172" s="4" t="s">
        <v>39</v>
      </c>
      <c r="L172" s="4" t="s">
        <v>30</v>
      </c>
      <c r="M172" s="4" t="s">
        <v>36</v>
      </c>
    </row>
    <row r="173" spans="1:13" x14ac:dyDescent="0.3">
      <c r="A173" s="4">
        <v>46185.608985057872</v>
      </c>
      <c r="B173" s="4">
        <v>19</v>
      </c>
      <c r="C173" s="4" t="s">
        <v>22</v>
      </c>
      <c r="D173" s="4">
        <v>9</v>
      </c>
      <c r="E173" s="4" t="s">
        <v>42</v>
      </c>
      <c r="F173" s="4">
        <v>9.1999999999999993</v>
      </c>
      <c r="G173" s="4" t="s">
        <v>47</v>
      </c>
      <c r="H173" s="4"/>
      <c r="I173" s="4">
        <v>7.9</v>
      </c>
      <c r="J173" s="4">
        <v>3</v>
      </c>
      <c r="K173" s="4" t="s">
        <v>33</v>
      </c>
      <c r="L173" s="4" t="s">
        <v>45</v>
      </c>
      <c r="M173" s="4" t="s">
        <v>36</v>
      </c>
    </row>
    <row r="174" spans="1:13" x14ac:dyDescent="0.3">
      <c r="A174" s="4">
        <v>46185.609003368052</v>
      </c>
      <c r="B174" s="4">
        <v>32</v>
      </c>
      <c r="C174" s="4" t="s">
        <v>14</v>
      </c>
      <c r="D174" s="4">
        <v>3.4</v>
      </c>
      <c r="E174" s="4" t="s">
        <v>27</v>
      </c>
      <c r="F174" s="4">
        <v>13.6</v>
      </c>
      <c r="G174" s="4" t="s">
        <v>41</v>
      </c>
      <c r="H174" s="4"/>
      <c r="I174" s="4">
        <v>4.2</v>
      </c>
      <c r="J174" s="4">
        <v>9</v>
      </c>
      <c r="K174" s="4" t="s">
        <v>39</v>
      </c>
      <c r="L174" s="4" t="s">
        <v>19</v>
      </c>
      <c r="M174" s="4" t="s">
        <v>30</v>
      </c>
    </row>
    <row r="175" spans="1:13" x14ac:dyDescent="0.3">
      <c r="A175" s="4">
        <v>46185.609019108801</v>
      </c>
      <c r="B175" s="4">
        <v>31</v>
      </c>
      <c r="C175" s="4" t="s">
        <v>40</v>
      </c>
      <c r="D175" s="4">
        <v>4.5999999999999996</v>
      </c>
      <c r="E175" s="4" t="s">
        <v>23</v>
      </c>
      <c r="F175" s="4">
        <v>11.9</v>
      </c>
      <c r="G175" s="4" t="s">
        <v>35</v>
      </c>
      <c r="H175" s="4"/>
      <c r="I175" s="4">
        <v>3.5</v>
      </c>
      <c r="J175" s="4">
        <v>2</v>
      </c>
      <c r="K175" s="4" t="s">
        <v>39</v>
      </c>
      <c r="L175" s="4" t="s">
        <v>45</v>
      </c>
      <c r="M175" s="4" t="s">
        <v>30</v>
      </c>
    </row>
    <row r="176" spans="1:13" x14ac:dyDescent="0.3">
      <c r="A176" s="4">
        <v>46185.609045289355</v>
      </c>
      <c r="B176" s="4">
        <v>16</v>
      </c>
      <c r="C176" s="4" t="s">
        <v>22</v>
      </c>
      <c r="D176" s="4">
        <v>2.2000000000000002</v>
      </c>
      <c r="E176" s="4" t="s">
        <v>34</v>
      </c>
      <c r="F176" s="4">
        <v>13.5</v>
      </c>
      <c r="G176" s="4" t="s">
        <v>47</v>
      </c>
      <c r="H176" s="4"/>
      <c r="I176" s="4">
        <v>2.1</v>
      </c>
      <c r="J176" s="4">
        <v>1</v>
      </c>
      <c r="K176" s="4" t="s">
        <v>29</v>
      </c>
      <c r="L176" s="4" t="s">
        <v>45</v>
      </c>
      <c r="M176" s="4" t="s">
        <v>36</v>
      </c>
    </row>
    <row r="177" spans="1:13" x14ac:dyDescent="0.3">
      <c r="A177" s="4">
        <v>46185.609066712961</v>
      </c>
      <c r="B177" s="4">
        <v>20</v>
      </c>
      <c r="C177" s="4" t="s">
        <v>14</v>
      </c>
      <c r="D177" s="4">
        <v>4.3</v>
      </c>
      <c r="E177" s="4" t="s">
        <v>23</v>
      </c>
      <c r="F177" s="4">
        <v>11.1</v>
      </c>
      <c r="G177" s="4" t="s">
        <v>38</v>
      </c>
      <c r="H177" s="4"/>
      <c r="I177" s="4">
        <v>4.8</v>
      </c>
      <c r="J177" s="4">
        <v>2</v>
      </c>
      <c r="K177" s="4" t="s">
        <v>29</v>
      </c>
      <c r="L177" s="4" t="s">
        <v>25</v>
      </c>
      <c r="M177" s="4" t="s">
        <v>20</v>
      </c>
    </row>
    <row r="178" spans="1:13" x14ac:dyDescent="0.3">
      <c r="A178" s="4">
        <v>46185.609089328704</v>
      </c>
      <c r="B178" s="4">
        <v>31</v>
      </c>
      <c r="C178" s="4" t="s">
        <v>22</v>
      </c>
      <c r="D178" s="4">
        <v>3.5</v>
      </c>
      <c r="E178" s="4" t="s">
        <v>42</v>
      </c>
      <c r="F178" s="4">
        <v>7.6</v>
      </c>
      <c r="G178" s="4" t="s">
        <v>28</v>
      </c>
      <c r="H178" s="4"/>
      <c r="I178" s="4">
        <v>5.5</v>
      </c>
      <c r="J178" s="4">
        <v>9</v>
      </c>
      <c r="K178" s="4" t="s">
        <v>18</v>
      </c>
      <c r="L178" s="4" t="s">
        <v>25</v>
      </c>
      <c r="M178" s="4" t="s">
        <v>20</v>
      </c>
    </row>
    <row r="179" spans="1:13" x14ac:dyDescent="0.3">
      <c r="A179" s="4">
        <v>46185.60910746528</v>
      </c>
      <c r="B179" s="4">
        <v>28</v>
      </c>
      <c r="C179" s="4" t="s">
        <v>40</v>
      </c>
      <c r="D179" s="4">
        <v>6.7</v>
      </c>
      <c r="E179" s="4" t="s">
        <v>27</v>
      </c>
      <c r="F179" s="4">
        <v>9</v>
      </c>
      <c r="G179" s="4" t="s">
        <v>46</v>
      </c>
      <c r="H179" s="4"/>
      <c r="I179" s="4">
        <v>1.7</v>
      </c>
      <c r="J179" s="4">
        <v>5</v>
      </c>
      <c r="K179" s="4" t="s">
        <v>33</v>
      </c>
      <c r="L179" s="4" t="s">
        <v>45</v>
      </c>
      <c r="M179" s="4" t="s">
        <v>30</v>
      </c>
    </row>
    <row r="180" spans="1:13" x14ac:dyDescent="0.3">
      <c r="A180" s="4">
        <v>46185.609123032409</v>
      </c>
      <c r="B180" s="4">
        <v>21</v>
      </c>
      <c r="C180" s="4" t="s">
        <v>14</v>
      </c>
      <c r="D180" s="4">
        <v>3.6</v>
      </c>
      <c r="E180" s="4" t="s">
        <v>27</v>
      </c>
      <c r="F180" s="4">
        <v>9</v>
      </c>
      <c r="G180" s="4" t="s">
        <v>47</v>
      </c>
      <c r="H180" s="4"/>
      <c r="I180" s="4">
        <v>4.7</v>
      </c>
      <c r="J180" s="4">
        <v>2</v>
      </c>
      <c r="K180" s="4" t="s">
        <v>39</v>
      </c>
      <c r="L180" s="4" t="s">
        <v>19</v>
      </c>
      <c r="M180" s="4" t="s">
        <v>20</v>
      </c>
    </row>
    <row r="181" spans="1:13" x14ac:dyDescent="0.3">
      <c r="A181" s="4">
        <v>46185.609142824076</v>
      </c>
      <c r="B181" s="4">
        <v>34</v>
      </c>
      <c r="C181" s="4" t="s">
        <v>22</v>
      </c>
      <c r="D181" s="4">
        <v>6.2</v>
      </c>
      <c r="E181" s="4" t="s">
        <v>15</v>
      </c>
      <c r="F181" s="4">
        <v>12.8</v>
      </c>
      <c r="G181" s="4" t="s">
        <v>28</v>
      </c>
      <c r="H181" s="4"/>
      <c r="I181" s="4">
        <v>6.6</v>
      </c>
      <c r="J181" s="4">
        <v>9</v>
      </c>
      <c r="K181" s="4" t="s">
        <v>18</v>
      </c>
      <c r="L181" s="4" t="s">
        <v>45</v>
      </c>
      <c r="M181" s="4" t="s">
        <v>45</v>
      </c>
    </row>
    <row r="182" spans="1:13" x14ac:dyDescent="0.3">
      <c r="A182" s="4">
        <v>46185.609170370371</v>
      </c>
      <c r="B182" s="4">
        <v>32</v>
      </c>
      <c r="C182" s="4" t="s">
        <v>14</v>
      </c>
      <c r="D182" s="4">
        <v>5.7</v>
      </c>
      <c r="E182" s="4" t="s">
        <v>15</v>
      </c>
      <c r="F182" s="4">
        <v>10.4</v>
      </c>
      <c r="G182" s="4" t="s">
        <v>46</v>
      </c>
      <c r="H182" s="4"/>
      <c r="I182" s="4">
        <v>5</v>
      </c>
      <c r="J182" s="4">
        <v>6</v>
      </c>
      <c r="K182" s="4" t="s">
        <v>33</v>
      </c>
      <c r="L182" s="4" t="s">
        <v>30</v>
      </c>
      <c r="M182" s="4" t="s">
        <v>30</v>
      </c>
    </row>
    <row r="183" spans="1:13" x14ac:dyDescent="0.3">
      <c r="A183" s="4">
        <v>46185.609191782409</v>
      </c>
      <c r="B183" s="4">
        <v>19</v>
      </c>
      <c r="C183" s="4" t="s">
        <v>40</v>
      </c>
      <c r="D183" s="4">
        <v>9.5</v>
      </c>
      <c r="E183" s="4" t="s">
        <v>15</v>
      </c>
      <c r="F183" s="4">
        <v>11.4</v>
      </c>
      <c r="G183" s="4" t="s">
        <v>43</v>
      </c>
      <c r="H183" s="4"/>
      <c r="I183" s="4">
        <v>5.8</v>
      </c>
      <c r="J183" s="4">
        <v>8</v>
      </c>
      <c r="K183" s="4" t="s">
        <v>18</v>
      </c>
      <c r="L183" s="4" t="s">
        <v>19</v>
      </c>
      <c r="M183" s="4" t="s">
        <v>20</v>
      </c>
    </row>
    <row r="184" spans="1:13" x14ac:dyDescent="0.3">
      <c r="A184" s="4">
        <v>46185.609219652775</v>
      </c>
      <c r="B184" s="4">
        <v>24</v>
      </c>
      <c r="C184" s="4" t="s">
        <v>14</v>
      </c>
      <c r="D184" s="4">
        <v>6.2</v>
      </c>
      <c r="E184" s="4" t="s">
        <v>37</v>
      </c>
      <c r="F184" s="4">
        <v>13.7</v>
      </c>
      <c r="G184" s="4" t="s">
        <v>43</v>
      </c>
      <c r="H184" s="4"/>
      <c r="I184" s="4">
        <v>4.8</v>
      </c>
      <c r="J184" s="4">
        <v>6</v>
      </c>
      <c r="K184" s="4" t="s">
        <v>39</v>
      </c>
      <c r="L184" s="4" t="s">
        <v>19</v>
      </c>
      <c r="M184" s="4" t="s">
        <v>30</v>
      </c>
    </row>
    <row r="185" spans="1:13" x14ac:dyDescent="0.3">
      <c r="A185" s="4">
        <v>46185.609239618054</v>
      </c>
      <c r="B185" s="4">
        <v>26</v>
      </c>
      <c r="C185" s="4" t="s">
        <v>14</v>
      </c>
      <c r="D185" s="4">
        <v>2.6</v>
      </c>
      <c r="E185" s="4" t="s">
        <v>44</v>
      </c>
      <c r="F185" s="4">
        <v>11.9</v>
      </c>
      <c r="G185" s="4" t="s">
        <v>16</v>
      </c>
      <c r="H185" s="4" t="s">
        <v>51</v>
      </c>
      <c r="I185" s="4">
        <v>4.4000000000000004</v>
      </c>
      <c r="J185" s="4">
        <v>9</v>
      </c>
      <c r="K185" s="4" t="s">
        <v>39</v>
      </c>
      <c r="L185" s="4" t="s">
        <v>19</v>
      </c>
      <c r="M185" s="4" t="s">
        <v>45</v>
      </c>
    </row>
    <row r="186" spans="1:13" x14ac:dyDescent="0.3">
      <c r="A186" s="4">
        <v>46185.609265671301</v>
      </c>
      <c r="B186" s="4">
        <v>18</v>
      </c>
      <c r="C186" s="4" t="s">
        <v>14</v>
      </c>
      <c r="D186" s="4">
        <v>6.5</v>
      </c>
      <c r="E186" s="4" t="s">
        <v>37</v>
      </c>
      <c r="F186" s="4">
        <v>5.9</v>
      </c>
      <c r="G186" s="4" t="s">
        <v>28</v>
      </c>
      <c r="H186" s="4"/>
      <c r="I186" s="4">
        <v>3.1</v>
      </c>
      <c r="J186" s="4">
        <v>5</v>
      </c>
      <c r="K186" s="4" t="s">
        <v>29</v>
      </c>
      <c r="L186" s="4" t="s">
        <v>19</v>
      </c>
      <c r="M186" s="4" t="s">
        <v>45</v>
      </c>
    </row>
    <row r="187" spans="1:13" x14ac:dyDescent="0.3">
      <c r="A187" s="4">
        <v>46185.609284513892</v>
      </c>
      <c r="B187" s="4">
        <v>21</v>
      </c>
      <c r="C187" s="4" t="s">
        <v>22</v>
      </c>
      <c r="D187" s="4">
        <v>9.8000000000000007</v>
      </c>
      <c r="E187" s="4" t="s">
        <v>15</v>
      </c>
      <c r="F187" s="4">
        <v>6.3</v>
      </c>
      <c r="G187" s="4" t="s">
        <v>46</v>
      </c>
      <c r="H187" s="4"/>
      <c r="I187" s="4">
        <v>2.7</v>
      </c>
      <c r="J187" s="4">
        <v>1</v>
      </c>
      <c r="K187" s="4" t="s">
        <v>39</v>
      </c>
      <c r="L187" s="4" t="s">
        <v>45</v>
      </c>
      <c r="M187" s="4" t="s">
        <v>30</v>
      </c>
    </row>
    <row r="188" spans="1:13" x14ac:dyDescent="0.3">
      <c r="A188" s="4">
        <v>46185.609319120369</v>
      </c>
      <c r="B188" s="4">
        <v>32</v>
      </c>
      <c r="C188" s="4" t="s">
        <v>22</v>
      </c>
      <c r="D188" s="4">
        <v>7.4</v>
      </c>
      <c r="E188" s="4" t="s">
        <v>15</v>
      </c>
      <c r="F188" s="4">
        <v>13.5</v>
      </c>
      <c r="G188" s="4" t="s">
        <v>47</v>
      </c>
      <c r="H188" s="4"/>
      <c r="I188" s="4">
        <v>4.9000000000000004</v>
      </c>
      <c r="J188" s="4">
        <v>3</v>
      </c>
      <c r="K188" s="4" t="s">
        <v>33</v>
      </c>
      <c r="L188" s="4" t="s">
        <v>45</v>
      </c>
      <c r="M188" s="4" t="s">
        <v>36</v>
      </c>
    </row>
    <row r="189" spans="1:13" x14ac:dyDescent="0.3">
      <c r="A189" s="4">
        <v>46185.609338576389</v>
      </c>
      <c r="B189" s="4">
        <v>23</v>
      </c>
      <c r="C189" s="4" t="s">
        <v>14</v>
      </c>
      <c r="D189" s="4">
        <v>5.3</v>
      </c>
      <c r="E189" s="4" t="s">
        <v>27</v>
      </c>
      <c r="F189" s="4">
        <v>7.5</v>
      </c>
      <c r="G189" s="4" t="s">
        <v>32</v>
      </c>
      <c r="H189" s="4"/>
      <c r="I189" s="4">
        <v>2.1</v>
      </c>
      <c r="J189" s="4">
        <v>5</v>
      </c>
      <c r="K189" s="4" t="s">
        <v>18</v>
      </c>
      <c r="L189" s="4" t="s">
        <v>30</v>
      </c>
      <c r="M189" s="4" t="s">
        <v>20</v>
      </c>
    </row>
    <row r="190" spans="1:13" ht="28.8" x14ac:dyDescent="0.3">
      <c r="A190" s="4">
        <v>46185.609357581023</v>
      </c>
      <c r="B190" s="4">
        <v>35</v>
      </c>
      <c r="C190" s="4" t="s">
        <v>22</v>
      </c>
      <c r="D190" s="4">
        <v>6</v>
      </c>
      <c r="E190" s="4" t="s">
        <v>44</v>
      </c>
      <c r="F190" s="4">
        <v>10.5</v>
      </c>
      <c r="G190" s="4" t="s">
        <v>24</v>
      </c>
      <c r="H190" s="4"/>
      <c r="I190" s="4">
        <v>7.6</v>
      </c>
      <c r="J190" s="4">
        <v>4</v>
      </c>
      <c r="K190" s="4" t="s">
        <v>33</v>
      </c>
      <c r="L190" s="4" t="s">
        <v>19</v>
      </c>
      <c r="M190" s="4" t="s">
        <v>45</v>
      </c>
    </row>
    <row r="191" spans="1:13" x14ac:dyDescent="0.3">
      <c r="A191" s="4">
        <v>46185.609385659722</v>
      </c>
      <c r="B191" s="4">
        <v>33</v>
      </c>
      <c r="C191" s="4" t="s">
        <v>40</v>
      </c>
      <c r="D191" s="4">
        <v>8.1</v>
      </c>
      <c r="E191" s="4" t="s">
        <v>37</v>
      </c>
      <c r="F191" s="4">
        <v>7.6</v>
      </c>
      <c r="G191" s="4" t="s">
        <v>35</v>
      </c>
      <c r="H191" s="4"/>
      <c r="I191" s="4">
        <v>7.9</v>
      </c>
      <c r="J191" s="4">
        <v>2</v>
      </c>
      <c r="K191" s="4" t="s">
        <v>39</v>
      </c>
      <c r="L191" s="4" t="s">
        <v>30</v>
      </c>
      <c r="M191" s="4" t="s">
        <v>36</v>
      </c>
    </row>
    <row r="192" spans="1:13" x14ac:dyDescent="0.3">
      <c r="A192" s="4">
        <v>46185.609406365737</v>
      </c>
      <c r="B192" s="4">
        <v>35</v>
      </c>
      <c r="C192" s="4" t="s">
        <v>22</v>
      </c>
      <c r="D192" s="4">
        <v>2.2000000000000002</v>
      </c>
      <c r="E192" s="4" t="s">
        <v>44</v>
      </c>
      <c r="F192" s="4">
        <v>13.9</v>
      </c>
      <c r="G192" s="4" t="s">
        <v>47</v>
      </c>
      <c r="H192" s="4"/>
      <c r="I192" s="4">
        <v>6.7</v>
      </c>
      <c r="J192" s="4">
        <v>5</v>
      </c>
      <c r="K192" s="4" t="s">
        <v>33</v>
      </c>
      <c r="L192" s="4" t="s">
        <v>19</v>
      </c>
      <c r="M192" s="4" t="s">
        <v>30</v>
      </c>
    </row>
    <row r="193" spans="1:13" x14ac:dyDescent="0.3">
      <c r="A193" s="4">
        <v>46185.609425844908</v>
      </c>
      <c r="B193" s="4">
        <v>29</v>
      </c>
      <c r="C193" s="4" t="s">
        <v>22</v>
      </c>
      <c r="D193" s="4">
        <v>3.8</v>
      </c>
      <c r="E193" s="4" t="s">
        <v>34</v>
      </c>
      <c r="F193" s="4">
        <v>10.9</v>
      </c>
      <c r="G193" s="4" t="s">
        <v>28</v>
      </c>
      <c r="H193" s="4"/>
      <c r="I193" s="4">
        <v>7.8</v>
      </c>
      <c r="J193" s="4">
        <v>2</v>
      </c>
      <c r="K193" s="4" t="s">
        <v>18</v>
      </c>
      <c r="L193" s="4" t="s">
        <v>25</v>
      </c>
      <c r="M193" s="4" t="s">
        <v>30</v>
      </c>
    </row>
    <row r="194" spans="1:13" x14ac:dyDescent="0.3">
      <c r="A194" s="4">
        <v>46185.609448252319</v>
      </c>
      <c r="B194" s="4">
        <v>16</v>
      </c>
      <c r="C194" s="4" t="s">
        <v>40</v>
      </c>
      <c r="D194" s="4">
        <v>7.8</v>
      </c>
      <c r="E194" s="4" t="s">
        <v>27</v>
      </c>
      <c r="F194" s="4">
        <v>13.8</v>
      </c>
      <c r="G194" s="4" t="s">
        <v>41</v>
      </c>
      <c r="H194" s="4"/>
      <c r="I194" s="4">
        <v>3.1</v>
      </c>
      <c r="J194" s="4">
        <v>4</v>
      </c>
      <c r="K194" s="4" t="s">
        <v>18</v>
      </c>
      <c r="L194" s="4" t="s">
        <v>25</v>
      </c>
      <c r="M194" s="4" t="s">
        <v>36</v>
      </c>
    </row>
    <row r="195" spans="1:13" x14ac:dyDescent="0.3">
      <c r="A195" s="4">
        <v>46185.609474548612</v>
      </c>
      <c r="B195" s="4">
        <v>35</v>
      </c>
      <c r="C195" s="4" t="s">
        <v>40</v>
      </c>
      <c r="D195" s="4">
        <v>3.2</v>
      </c>
      <c r="E195" s="4" t="s">
        <v>42</v>
      </c>
      <c r="F195" s="4">
        <v>10.1</v>
      </c>
      <c r="G195" s="4" t="s">
        <v>28</v>
      </c>
      <c r="H195" s="4"/>
      <c r="I195" s="4">
        <v>5.6</v>
      </c>
      <c r="J195" s="4">
        <v>10</v>
      </c>
      <c r="K195" s="4" t="s">
        <v>33</v>
      </c>
      <c r="L195" s="4" t="s">
        <v>25</v>
      </c>
      <c r="M195" s="4" t="s">
        <v>20</v>
      </c>
    </row>
    <row r="196" spans="1:13" x14ac:dyDescent="0.3">
      <c r="A196" s="4">
        <v>46185.609505162036</v>
      </c>
      <c r="B196" s="4">
        <v>30</v>
      </c>
      <c r="C196" s="4" t="s">
        <v>14</v>
      </c>
      <c r="D196" s="4">
        <v>2.2000000000000002</v>
      </c>
      <c r="E196" s="4" t="s">
        <v>15</v>
      </c>
      <c r="F196" s="4">
        <v>10.3</v>
      </c>
      <c r="G196" s="4" t="s">
        <v>47</v>
      </c>
      <c r="H196" s="4"/>
      <c r="I196" s="4">
        <v>7.8</v>
      </c>
      <c r="J196" s="4">
        <v>7</v>
      </c>
      <c r="K196" s="4" t="s">
        <v>29</v>
      </c>
      <c r="L196" s="4" t="s">
        <v>45</v>
      </c>
      <c r="M196" s="4" t="s">
        <v>30</v>
      </c>
    </row>
    <row r="197" spans="1:13" x14ac:dyDescent="0.3">
      <c r="A197" s="4">
        <v>46185.609524224536</v>
      </c>
      <c r="B197" s="4">
        <v>24</v>
      </c>
      <c r="C197" s="4" t="s">
        <v>14</v>
      </c>
      <c r="D197" s="4">
        <v>9</v>
      </c>
      <c r="E197" s="4" t="s">
        <v>15</v>
      </c>
      <c r="F197" s="4">
        <v>5.3</v>
      </c>
      <c r="G197" s="4" t="s">
        <v>43</v>
      </c>
      <c r="H197" s="4"/>
      <c r="I197" s="4">
        <v>1.2</v>
      </c>
      <c r="J197" s="4">
        <v>6</v>
      </c>
      <c r="K197" s="4" t="s">
        <v>29</v>
      </c>
      <c r="L197" s="4" t="s">
        <v>45</v>
      </c>
      <c r="M197" s="4" t="s">
        <v>30</v>
      </c>
    </row>
    <row r="198" spans="1:13" x14ac:dyDescent="0.3">
      <c r="A198" s="4">
        <v>46185.609550532405</v>
      </c>
      <c r="B198" s="4">
        <v>23</v>
      </c>
      <c r="C198" s="4" t="s">
        <v>14</v>
      </c>
      <c r="D198" s="4">
        <v>5</v>
      </c>
      <c r="E198" s="4" t="s">
        <v>44</v>
      </c>
      <c r="F198" s="4">
        <v>4.4000000000000004</v>
      </c>
      <c r="G198" s="4" t="s">
        <v>16</v>
      </c>
      <c r="H198" s="4" t="s">
        <v>50</v>
      </c>
      <c r="I198" s="4">
        <v>7</v>
      </c>
      <c r="J198" s="4">
        <v>7</v>
      </c>
      <c r="K198" s="4" t="s">
        <v>29</v>
      </c>
      <c r="L198" s="4" t="s">
        <v>25</v>
      </c>
      <c r="M198" s="4" t="s">
        <v>20</v>
      </c>
    </row>
    <row r="199" spans="1:13" x14ac:dyDescent="0.3">
      <c r="A199" s="4">
        <v>46185.609575937502</v>
      </c>
      <c r="B199" s="4">
        <v>18</v>
      </c>
      <c r="C199" s="4" t="s">
        <v>14</v>
      </c>
      <c r="D199" s="4">
        <v>6.2</v>
      </c>
      <c r="E199" s="4" t="s">
        <v>42</v>
      </c>
      <c r="F199" s="4">
        <v>10.5</v>
      </c>
      <c r="G199" s="4" t="s">
        <v>32</v>
      </c>
      <c r="H199" s="4"/>
      <c r="I199" s="4">
        <v>2.2000000000000002</v>
      </c>
      <c r="J199" s="4">
        <v>2</v>
      </c>
      <c r="K199" s="4" t="s">
        <v>29</v>
      </c>
      <c r="L199" s="4" t="s">
        <v>19</v>
      </c>
      <c r="M199" s="4" t="s">
        <v>45</v>
      </c>
    </row>
    <row r="200" spans="1:13" x14ac:dyDescent="0.3">
      <c r="A200" s="4">
        <v>46185.60960325232</v>
      </c>
      <c r="B200" s="4">
        <v>21</v>
      </c>
      <c r="C200" s="4" t="s">
        <v>14</v>
      </c>
      <c r="D200" s="4">
        <v>8.4</v>
      </c>
      <c r="E200" s="4" t="s">
        <v>37</v>
      </c>
      <c r="F200" s="4">
        <v>11.9</v>
      </c>
      <c r="G200" s="4" t="s">
        <v>35</v>
      </c>
      <c r="H200" s="4"/>
      <c r="I200" s="4">
        <v>5.6</v>
      </c>
      <c r="J200" s="4">
        <v>2</v>
      </c>
      <c r="K200" s="4" t="s">
        <v>33</v>
      </c>
      <c r="L200" s="4" t="s">
        <v>30</v>
      </c>
      <c r="M200" s="4" t="s">
        <v>30</v>
      </c>
    </row>
    <row r="201" spans="1:13" x14ac:dyDescent="0.3">
      <c r="A201" s="4">
        <v>46185.609622974538</v>
      </c>
      <c r="B201" s="4">
        <v>30</v>
      </c>
      <c r="C201" s="4" t="s">
        <v>14</v>
      </c>
      <c r="D201" s="4">
        <v>6.2</v>
      </c>
      <c r="E201" s="4" t="s">
        <v>34</v>
      </c>
      <c r="F201" s="4">
        <v>7.9</v>
      </c>
      <c r="G201" s="4" t="s">
        <v>47</v>
      </c>
      <c r="H201" s="4"/>
      <c r="I201" s="4">
        <v>4</v>
      </c>
      <c r="J201" s="4">
        <v>10</v>
      </c>
      <c r="K201" s="4" t="s">
        <v>33</v>
      </c>
      <c r="L201" s="4" t="s">
        <v>45</v>
      </c>
      <c r="M201" s="4" t="s">
        <v>20</v>
      </c>
    </row>
    <row r="202" spans="1:13" x14ac:dyDescent="0.3">
      <c r="A202" s="4">
        <v>46185.609647997684</v>
      </c>
      <c r="B202" s="4">
        <v>18</v>
      </c>
      <c r="C202" s="4" t="s">
        <v>40</v>
      </c>
      <c r="D202" s="4">
        <v>2.7</v>
      </c>
      <c r="E202" s="4" t="s">
        <v>42</v>
      </c>
      <c r="F202" s="4">
        <v>4.9000000000000004</v>
      </c>
      <c r="G202" s="4" t="s">
        <v>47</v>
      </c>
      <c r="H202" s="4"/>
      <c r="I202" s="4">
        <v>6.5</v>
      </c>
      <c r="J202" s="4">
        <v>7</v>
      </c>
      <c r="K202" s="4" t="s">
        <v>18</v>
      </c>
      <c r="L202" s="4" t="s">
        <v>45</v>
      </c>
      <c r="M202" s="4" t="s">
        <v>45</v>
      </c>
    </row>
    <row r="203" spans="1:13" x14ac:dyDescent="0.3">
      <c r="A203" s="4">
        <v>46185.60967096065</v>
      </c>
      <c r="B203" s="4">
        <v>28</v>
      </c>
      <c r="C203" s="4" t="s">
        <v>40</v>
      </c>
      <c r="D203" s="4">
        <v>4.7</v>
      </c>
      <c r="E203" s="4" t="s">
        <v>42</v>
      </c>
      <c r="F203" s="4">
        <v>8.1</v>
      </c>
      <c r="G203" s="4" t="s">
        <v>38</v>
      </c>
      <c r="H203" s="4"/>
      <c r="I203" s="4">
        <v>3.2</v>
      </c>
      <c r="J203" s="4">
        <v>3</v>
      </c>
      <c r="K203" s="4" t="s">
        <v>18</v>
      </c>
      <c r="L203" s="4" t="s">
        <v>25</v>
      </c>
      <c r="M203" s="4" t="s">
        <v>36</v>
      </c>
    </row>
    <row r="204" spans="1:13" ht="28.8" x14ac:dyDescent="0.3">
      <c r="A204" s="4">
        <v>46185.609695416671</v>
      </c>
      <c r="B204" s="4">
        <v>17</v>
      </c>
      <c r="C204" s="4" t="s">
        <v>22</v>
      </c>
      <c r="D204" s="4">
        <v>5.4</v>
      </c>
      <c r="E204" s="4" t="s">
        <v>15</v>
      </c>
      <c r="F204" s="4">
        <v>7.7</v>
      </c>
      <c r="G204" s="4" t="s">
        <v>24</v>
      </c>
      <c r="H204" s="4"/>
      <c r="I204" s="4">
        <v>6.1</v>
      </c>
      <c r="J204" s="4">
        <v>4</v>
      </c>
      <c r="K204" s="4" t="s">
        <v>18</v>
      </c>
      <c r="L204" s="4" t="s">
        <v>19</v>
      </c>
      <c r="M204" s="4" t="s">
        <v>20</v>
      </c>
    </row>
    <row r="205" spans="1:13" x14ac:dyDescent="0.3">
      <c r="A205" s="4">
        <v>46185.609722152774</v>
      </c>
      <c r="B205" s="4">
        <v>24</v>
      </c>
      <c r="C205" s="4" t="s">
        <v>22</v>
      </c>
      <c r="D205" s="4">
        <v>3</v>
      </c>
      <c r="E205" s="4" t="s">
        <v>37</v>
      </c>
      <c r="F205" s="4">
        <v>4.5</v>
      </c>
      <c r="G205" s="4" t="s">
        <v>32</v>
      </c>
      <c r="H205" s="4"/>
      <c r="I205" s="4">
        <v>7.5</v>
      </c>
      <c r="J205" s="4">
        <v>6</v>
      </c>
      <c r="K205" s="4" t="s">
        <v>18</v>
      </c>
      <c r="L205" s="4" t="s">
        <v>25</v>
      </c>
      <c r="M205" s="4" t="s">
        <v>20</v>
      </c>
    </row>
    <row r="206" spans="1:13" x14ac:dyDescent="0.3">
      <c r="A206" s="4">
        <v>46185.609739131949</v>
      </c>
      <c r="B206" s="4">
        <v>20</v>
      </c>
      <c r="C206" s="4" t="s">
        <v>22</v>
      </c>
      <c r="D206" s="4">
        <v>2.4</v>
      </c>
      <c r="E206" s="4" t="s">
        <v>15</v>
      </c>
      <c r="F206" s="4">
        <v>5</v>
      </c>
      <c r="G206" s="4" t="s">
        <v>35</v>
      </c>
      <c r="H206" s="4"/>
      <c r="I206" s="4">
        <v>1.2</v>
      </c>
      <c r="J206" s="4">
        <v>4</v>
      </c>
      <c r="K206" s="4" t="s">
        <v>29</v>
      </c>
      <c r="L206" s="4" t="s">
        <v>45</v>
      </c>
      <c r="M206" s="4" t="s">
        <v>20</v>
      </c>
    </row>
    <row r="207" spans="1:13" x14ac:dyDescent="0.3">
      <c r="A207" s="4">
        <v>46185.609765763889</v>
      </c>
      <c r="B207" s="4">
        <v>28</v>
      </c>
      <c r="C207" s="4" t="s">
        <v>14</v>
      </c>
      <c r="D207" s="4">
        <v>10</v>
      </c>
      <c r="E207" s="4" t="s">
        <v>42</v>
      </c>
      <c r="F207" s="4">
        <v>12</v>
      </c>
      <c r="G207" s="4" t="s">
        <v>41</v>
      </c>
      <c r="H207" s="4"/>
      <c r="I207" s="4">
        <v>6.2</v>
      </c>
      <c r="J207" s="4">
        <v>5</v>
      </c>
      <c r="K207" s="4" t="s">
        <v>39</v>
      </c>
      <c r="L207" s="4" t="s">
        <v>45</v>
      </c>
      <c r="M207" s="4" t="s">
        <v>20</v>
      </c>
    </row>
    <row r="208" spans="1:13" ht="28.8" x14ac:dyDescent="0.3">
      <c r="A208" s="4">
        <v>46185.609793854164</v>
      </c>
      <c r="B208" s="4">
        <v>16</v>
      </c>
      <c r="C208" s="4" t="s">
        <v>40</v>
      </c>
      <c r="D208" s="4">
        <v>9.3000000000000007</v>
      </c>
      <c r="E208" s="4" t="s">
        <v>27</v>
      </c>
      <c r="F208" s="4">
        <v>12.6</v>
      </c>
      <c r="G208" s="4" t="s">
        <v>24</v>
      </c>
      <c r="H208" s="4"/>
      <c r="I208" s="4">
        <v>5.7</v>
      </c>
      <c r="J208" s="4">
        <v>5</v>
      </c>
      <c r="K208" s="4" t="s">
        <v>18</v>
      </c>
      <c r="L208" s="4" t="s">
        <v>30</v>
      </c>
      <c r="M208" s="4" t="s">
        <v>45</v>
      </c>
    </row>
    <row r="209" spans="1:13" x14ac:dyDescent="0.3">
      <c r="A209" s="4">
        <v>46185.609819224541</v>
      </c>
      <c r="B209" s="4">
        <v>27</v>
      </c>
      <c r="C209" s="4" t="s">
        <v>40</v>
      </c>
      <c r="D209" s="4">
        <v>5.2</v>
      </c>
      <c r="E209" s="4" t="s">
        <v>34</v>
      </c>
      <c r="F209" s="4">
        <v>6.3</v>
      </c>
      <c r="G209" s="4" t="s">
        <v>32</v>
      </c>
      <c r="H209" s="4"/>
      <c r="I209" s="4">
        <v>6.5</v>
      </c>
      <c r="J209" s="4">
        <v>6</v>
      </c>
      <c r="K209" s="4" t="s">
        <v>18</v>
      </c>
      <c r="L209" s="4" t="s">
        <v>25</v>
      </c>
      <c r="M209" s="4" t="s">
        <v>30</v>
      </c>
    </row>
    <row r="210" spans="1:13" x14ac:dyDescent="0.3">
      <c r="A210" s="4">
        <v>46185.609843518519</v>
      </c>
      <c r="B210" s="4">
        <v>29</v>
      </c>
      <c r="C210" s="4" t="s">
        <v>14</v>
      </c>
      <c r="D210" s="4">
        <v>10</v>
      </c>
      <c r="E210" s="4" t="s">
        <v>37</v>
      </c>
      <c r="F210" s="4">
        <v>9.9</v>
      </c>
      <c r="G210" s="4" t="s">
        <v>16</v>
      </c>
      <c r="H210" s="4" t="s">
        <v>52</v>
      </c>
      <c r="I210" s="4">
        <v>4.0999999999999996</v>
      </c>
      <c r="J210" s="4">
        <v>10</v>
      </c>
      <c r="K210" s="4" t="s">
        <v>29</v>
      </c>
      <c r="L210" s="4" t="s">
        <v>19</v>
      </c>
      <c r="M210" s="4" t="s">
        <v>30</v>
      </c>
    </row>
    <row r="211" spans="1:13" ht="28.8" x14ac:dyDescent="0.3">
      <c r="A211" s="4">
        <v>46185.609861469908</v>
      </c>
      <c r="B211" s="4">
        <v>26</v>
      </c>
      <c r="C211" s="4" t="s">
        <v>40</v>
      </c>
      <c r="D211" s="4">
        <v>6.7</v>
      </c>
      <c r="E211" s="4" t="s">
        <v>15</v>
      </c>
      <c r="F211" s="4">
        <v>5.5</v>
      </c>
      <c r="G211" s="4" t="s">
        <v>24</v>
      </c>
      <c r="H211" s="4"/>
      <c r="I211" s="4">
        <v>1.4</v>
      </c>
      <c r="J211" s="4">
        <v>7</v>
      </c>
      <c r="K211" s="4" t="s">
        <v>33</v>
      </c>
      <c r="L211" s="4" t="s">
        <v>45</v>
      </c>
      <c r="M211" s="4" t="s">
        <v>36</v>
      </c>
    </row>
    <row r="212" spans="1:13" x14ac:dyDescent="0.3">
      <c r="A212" s="4">
        <v>46185.609883182871</v>
      </c>
      <c r="B212" s="4">
        <v>16</v>
      </c>
      <c r="C212" s="4" t="s">
        <v>22</v>
      </c>
      <c r="D212" s="4">
        <v>7.4</v>
      </c>
      <c r="E212" s="4" t="s">
        <v>27</v>
      </c>
      <c r="F212" s="4">
        <v>4.8</v>
      </c>
      <c r="G212" s="4" t="s">
        <v>38</v>
      </c>
      <c r="H212" s="4"/>
      <c r="I212" s="4">
        <v>7.1</v>
      </c>
      <c r="J212" s="4">
        <v>1</v>
      </c>
      <c r="K212" s="4" t="s">
        <v>18</v>
      </c>
      <c r="L212" s="4" t="s">
        <v>30</v>
      </c>
      <c r="M212" s="4" t="s">
        <v>30</v>
      </c>
    </row>
    <row r="213" spans="1:13" x14ac:dyDescent="0.3">
      <c r="A213" s="4">
        <v>46185.609910462968</v>
      </c>
      <c r="B213" s="4">
        <v>16</v>
      </c>
      <c r="C213" s="4" t="s">
        <v>40</v>
      </c>
      <c r="D213" s="4">
        <v>5.4</v>
      </c>
      <c r="E213" s="4" t="s">
        <v>23</v>
      </c>
      <c r="F213" s="4">
        <v>11.3</v>
      </c>
      <c r="G213" s="4" t="s">
        <v>35</v>
      </c>
      <c r="H213" s="4"/>
      <c r="I213" s="4">
        <v>2.9</v>
      </c>
      <c r="J213" s="4">
        <v>7</v>
      </c>
      <c r="K213" s="4" t="s">
        <v>39</v>
      </c>
      <c r="L213" s="4" t="s">
        <v>19</v>
      </c>
      <c r="M213" s="4" t="s">
        <v>45</v>
      </c>
    </row>
    <row r="214" spans="1:13" x14ac:dyDescent="0.3">
      <c r="A214" s="4">
        <v>46185.609934456021</v>
      </c>
      <c r="B214" s="4">
        <v>23</v>
      </c>
      <c r="C214" s="4" t="s">
        <v>40</v>
      </c>
      <c r="D214" s="4">
        <v>8.6</v>
      </c>
      <c r="E214" s="4" t="s">
        <v>34</v>
      </c>
      <c r="F214" s="4">
        <v>6.8</v>
      </c>
      <c r="G214" s="4" t="s">
        <v>46</v>
      </c>
      <c r="H214" s="4"/>
      <c r="I214" s="4">
        <v>1.1000000000000001</v>
      </c>
      <c r="J214" s="4">
        <v>3</v>
      </c>
      <c r="K214" s="4" t="s">
        <v>18</v>
      </c>
      <c r="L214" s="4" t="s">
        <v>30</v>
      </c>
      <c r="M214" s="4" t="s">
        <v>30</v>
      </c>
    </row>
    <row r="215" spans="1:13" x14ac:dyDescent="0.3">
      <c r="A215" s="4">
        <v>46185.609968900462</v>
      </c>
      <c r="B215" s="4">
        <v>32</v>
      </c>
      <c r="C215" s="4" t="s">
        <v>40</v>
      </c>
      <c r="D215" s="4">
        <v>3.7</v>
      </c>
      <c r="E215" s="4" t="s">
        <v>23</v>
      </c>
      <c r="F215" s="4">
        <v>5.7</v>
      </c>
      <c r="G215" s="4" t="s">
        <v>38</v>
      </c>
      <c r="H215" s="4"/>
      <c r="I215" s="4">
        <v>1.4</v>
      </c>
      <c r="J215" s="4">
        <v>9</v>
      </c>
      <c r="K215" s="4" t="s">
        <v>39</v>
      </c>
      <c r="L215" s="4" t="s">
        <v>25</v>
      </c>
      <c r="M215" s="4" t="s">
        <v>36</v>
      </c>
    </row>
    <row r="216" spans="1:13" x14ac:dyDescent="0.3">
      <c r="A216" s="4">
        <v>46185.609991608799</v>
      </c>
      <c r="B216" s="4">
        <v>32</v>
      </c>
      <c r="C216" s="4" t="s">
        <v>22</v>
      </c>
      <c r="D216" s="4">
        <v>8.5</v>
      </c>
      <c r="E216" s="4" t="s">
        <v>37</v>
      </c>
      <c r="F216" s="4">
        <v>9.1</v>
      </c>
      <c r="G216" s="4" t="s">
        <v>43</v>
      </c>
      <c r="H216" s="4"/>
      <c r="I216" s="4">
        <v>3.9</v>
      </c>
      <c r="J216" s="4">
        <v>1</v>
      </c>
      <c r="K216" s="4" t="s">
        <v>39</v>
      </c>
      <c r="L216" s="4" t="s">
        <v>30</v>
      </c>
      <c r="M216" s="4" t="s">
        <v>45</v>
      </c>
    </row>
    <row r="217" spans="1:13" x14ac:dyDescent="0.3">
      <c r="A217" s="4">
        <v>46185.61001679398</v>
      </c>
      <c r="B217" s="4">
        <v>28</v>
      </c>
      <c r="C217" s="4" t="s">
        <v>40</v>
      </c>
      <c r="D217" s="4">
        <v>3.2</v>
      </c>
      <c r="E217" s="4" t="s">
        <v>34</v>
      </c>
      <c r="F217" s="4">
        <v>11.8</v>
      </c>
      <c r="G217" s="4" t="s">
        <v>28</v>
      </c>
      <c r="H217" s="4"/>
      <c r="I217" s="4">
        <v>7.9</v>
      </c>
      <c r="J217" s="4">
        <v>9</v>
      </c>
      <c r="K217" s="4" t="s">
        <v>18</v>
      </c>
      <c r="L217" s="4" t="s">
        <v>25</v>
      </c>
      <c r="M217" s="4" t="s">
        <v>36</v>
      </c>
    </row>
    <row r="218" spans="1:13" x14ac:dyDescent="0.3">
      <c r="A218" s="4">
        <v>46185.610042337961</v>
      </c>
      <c r="B218" s="4">
        <v>33</v>
      </c>
      <c r="C218" s="4" t="s">
        <v>14</v>
      </c>
      <c r="D218" s="4">
        <v>9.6</v>
      </c>
      <c r="E218" s="4" t="s">
        <v>27</v>
      </c>
      <c r="F218" s="4">
        <v>4.5</v>
      </c>
      <c r="G218" s="4" t="s">
        <v>16</v>
      </c>
      <c r="H218" s="4" t="s">
        <v>50</v>
      </c>
      <c r="I218" s="4">
        <v>7.5</v>
      </c>
      <c r="J218" s="4">
        <v>2</v>
      </c>
      <c r="K218" s="4" t="s">
        <v>18</v>
      </c>
      <c r="L218" s="4" t="s">
        <v>30</v>
      </c>
      <c r="M218" s="4" t="s">
        <v>45</v>
      </c>
    </row>
    <row r="219" spans="1:13" ht="28.8" x14ac:dyDescent="0.3">
      <c r="A219" s="4">
        <v>46185.610065590277</v>
      </c>
      <c r="B219" s="4">
        <v>19</v>
      </c>
      <c r="C219" s="4" t="s">
        <v>22</v>
      </c>
      <c r="D219" s="4">
        <v>4.2</v>
      </c>
      <c r="E219" s="4" t="s">
        <v>42</v>
      </c>
      <c r="F219" s="4">
        <v>13.9</v>
      </c>
      <c r="G219" s="4" t="s">
        <v>24</v>
      </c>
      <c r="H219" s="4"/>
      <c r="I219" s="4">
        <v>5.7</v>
      </c>
      <c r="J219" s="4">
        <v>1</v>
      </c>
      <c r="K219" s="4" t="s">
        <v>39</v>
      </c>
      <c r="L219" s="4" t="s">
        <v>45</v>
      </c>
      <c r="M219" s="4" t="s">
        <v>36</v>
      </c>
    </row>
    <row r="220" spans="1:13" x14ac:dyDescent="0.3">
      <c r="A220" s="4">
        <v>46185.610083240739</v>
      </c>
      <c r="B220" s="4">
        <v>20</v>
      </c>
      <c r="C220" s="4" t="s">
        <v>22</v>
      </c>
      <c r="D220" s="4">
        <v>3.8</v>
      </c>
      <c r="E220" s="4" t="s">
        <v>37</v>
      </c>
      <c r="F220" s="4">
        <v>5.9</v>
      </c>
      <c r="G220" s="4" t="s">
        <v>16</v>
      </c>
      <c r="H220" s="4" t="s">
        <v>51</v>
      </c>
      <c r="I220" s="4">
        <v>3.8</v>
      </c>
      <c r="J220" s="4">
        <v>9</v>
      </c>
      <c r="K220" s="4" t="s">
        <v>29</v>
      </c>
      <c r="L220" s="4" t="s">
        <v>25</v>
      </c>
      <c r="M220" s="4" t="s">
        <v>45</v>
      </c>
    </row>
    <row r="221" spans="1:13" x14ac:dyDescent="0.3">
      <c r="A221" s="4">
        <v>46185.610108946756</v>
      </c>
      <c r="B221" s="4">
        <v>34</v>
      </c>
      <c r="C221" s="4" t="s">
        <v>22</v>
      </c>
      <c r="D221" s="4">
        <v>5</v>
      </c>
      <c r="E221" s="4" t="s">
        <v>15</v>
      </c>
      <c r="F221" s="4">
        <v>5.9</v>
      </c>
      <c r="G221" s="4" t="s">
        <v>28</v>
      </c>
      <c r="H221" s="4"/>
      <c r="I221" s="4">
        <v>3.6</v>
      </c>
      <c r="J221" s="4">
        <v>9</v>
      </c>
      <c r="K221" s="4" t="s">
        <v>39</v>
      </c>
      <c r="L221" s="4" t="s">
        <v>25</v>
      </c>
      <c r="M221" s="4" t="s">
        <v>45</v>
      </c>
    </row>
    <row r="222" spans="1:13" ht="28.8" x14ac:dyDescent="0.3">
      <c r="A222" s="4">
        <v>46185.610129918983</v>
      </c>
      <c r="B222" s="4">
        <v>29</v>
      </c>
      <c r="C222" s="4" t="s">
        <v>40</v>
      </c>
      <c r="D222" s="4">
        <v>5</v>
      </c>
      <c r="E222" s="4" t="s">
        <v>42</v>
      </c>
      <c r="F222" s="4">
        <v>4.9000000000000004</v>
      </c>
      <c r="G222" s="4" t="s">
        <v>24</v>
      </c>
      <c r="H222" s="4"/>
      <c r="I222" s="4">
        <v>2.5</v>
      </c>
      <c r="J222" s="4">
        <v>5</v>
      </c>
      <c r="K222" s="4" t="s">
        <v>33</v>
      </c>
      <c r="L222" s="4" t="s">
        <v>45</v>
      </c>
      <c r="M222" s="4" t="s">
        <v>36</v>
      </c>
    </row>
    <row r="223" spans="1:13" x14ac:dyDescent="0.3">
      <c r="A223" s="4">
        <v>46185.610147418978</v>
      </c>
      <c r="B223" s="4">
        <v>31</v>
      </c>
      <c r="C223" s="4" t="s">
        <v>14</v>
      </c>
      <c r="D223" s="4">
        <v>3.8</v>
      </c>
      <c r="E223" s="4" t="s">
        <v>15</v>
      </c>
      <c r="F223" s="4">
        <v>4.2</v>
      </c>
      <c r="G223" s="4" t="s">
        <v>38</v>
      </c>
      <c r="H223" s="4"/>
      <c r="I223" s="4">
        <v>4.2</v>
      </c>
      <c r="J223" s="4">
        <v>1</v>
      </c>
      <c r="K223" s="4" t="s">
        <v>29</v>
      </c>
      <c r="L223" s="4" t="s">
        <v>45</v>
      </c>
      <c r="M223" s="4" t="s">
        <v>45</v>
      </c>
    </row>
    <row r="224" spans="1:13" x14ac:dyDescent="0.3">
      <c r="A224" s="4">
        <v>46185.610171238426</v>
      </c>
      <c r="B224" s="4">
        <v>20</v>
      </c>
      <c r="C224" s="4" t="s">
        <v>40</v>
      </c>
      <c r="D224" s="4">
        <v>4</v>
      </c>
      <c r="E224" s="4" t="s">
        <v>15</v>
      </c>
      <c r="F224" s="4">
        <v>13.9</v>
      </c>
      <c r="G224" s="4" t="s">
        <v>16</v>
      </c>
      <c r="H224" s="4" t="s">
        <v>76</v>
      </c>
      <c r="I224" s="4">
        <v>6.2</v>
      </c>
      <c r="J224" s="4">
        <v>1</v>
      </c>
      <c r="K224" s="4" t="s">
        <v>18</v>
      </c>
      <c r="L224" s="4" t="s">
        <v>30</v>
      </c>
      <c r="M224" s="4" t="s">
        <v>36</v>
      </c>
    </row>
    <row r="225" spans="1:13" ht="28.8" x14ac:dyDescent="0.3">
      <c r="A225" s="4">
        <v>46185.610193541666</v>
      </c>
      <c r="B225" s="4">
        <v>19</v>
      </c>
      <c r="C225" s="4" t="s">
        <v>22</v>
      </c>
      <c r="D225" s="4">
        <v>3.2</v>
      </c>
      <c r="E225" s="4" t="s">
        <v>23</v>
      </c>
      <c r="F225" s="4">
        <v>10.3</v>
      </c>
      <c r="G225" s="4" t="s">
        <v>24</v>
      </c>
      <c r="H225" s="4"/>
      <c r="I225" s="4">
        <v>7.9</v>
      </c>
      <c r="J225" s="4">
        <v>8</v>
      </c>
      <c r="K225" s="4" t="s">
        <v>18</v>
      </c>
      <c r="L225" s="4" t="s">
        <v>45</v>
      </c>
      <c r="M225" s="4" t="s">
        <v>30</v>
      </c>
    </row>
    <row r="226" spans="1:13" x14ac:dyDescent="0.3">
      <c r="A226" s="4">
        <v>46185.610214270833</v>
      </c>
      <c r="B226" s="4">
        <v>18</v>
      </c>
      <c r="C226" s="4" t="s">
        <v>40</v>
      </c>
      <c r="D226" s="4">
        <v>9.6</v>
      </c>
      <c r="E226" s="4" t="s">
        <v>27</v>
      </c>
      <c r="F226" s="4">
        <v>5.9</v>
      </c>
      <c r="G226" s="4" t="s">
        <v>46</v>
      </c>
      <c r="H226" s="4"/>
      <c r="I226" s="4">
        <v>7.7</v>
      </c>
      <c r="J226" s="4">
        <v>10</v>
      </c>
      <c r="K226" s="4" t="s">
        <v>39</v>
      </c>
      <c r="L226" s="4" t="s">
        <v>19</v>
      </c>
      <c r="M226" s="4" t="s">
        <v>30</v>
      </c>
    </row>
    <row r="227" spans="1:13" x14ac:dyDescent="0.3">
      <c r="A227" s="4">
        <v>46185.61023564815</v>
      </c>
      <c r="B227" s="4">
        <v>27</v>
      </c>
      <c r="C227" s="4" t="s">
        <v>22</v>
      </c>
      <c r="D227" s="4">
        <v>2.1</v>
      </c>
      <c r="E227" s="4" t="s">
        <v>34</v>
      </c>
      <c r="F227" s="4">
        <v>9.9</v>
      </c>
      <c r="G227" s="4" t="s">
        <v>43</v>
      </c>
      <c r="H227" s="4"/>
      <c r="I227" s="4">
        <v>6.1</v>
      </c>
      <c r="J227" s="4">
        <v>3</v>
      </c>
      <c r="K227" s="4" t="s">
        <v>29</v>
      </c>
      <c r="L227" s="4" t="s">
        <v>30</v>
      </c>
      <c r="M227" s="4" t="s">
        <v>45</v>
      </c>
    </row>
    <row r="228" spans="1:13" x14ac:dyDescent="0.3">
      <c r="A228" s="4">
        <v>46185.610253993058</v>
      </c>
      <c r="B228" s="4">
        <v>35</v>
      </c>
      <c r="C228" s="4" t="s">
        <v>22</v>
      </c>
      <c r="D228" s="4">
        <v>4.2</v>
      </c>
      <c r="E228" s="4" t="s">
        <v>23</v>
      </c>
      <c r="F228" s="4">
        <v>7.6</v>
      </c>
      <c r="G228" s="4" t="s">
        <v>38</v>
      </c>
      <c r="H228" s="4"/>
      <c r="I228" s="4">
        <v>4.9000000000000004</v>
      </c>
      <c r="J228" s="4">
        <v>7</v>
      </c>
      <c r="K228" s="4" t="s">
        <v>29</v>
      </c>
      <c r="L228" s="4" t="s">
        <v>19</v>
      </c>
      <c r="M228" s="4" t="s">
        <v>36</v>
      </c>
    </row>
    <row r="229" spans="1:13" x14ac:dyDescent="0.3">
      <c r="A229" s="4">
        <v>46185.610281354166</v>
      </c>
      <c r="B229" s="4">
        <v>20</v>
      </c>
      <c r="C229" s="4" t="s">
        <v>22</v>
      </c>
      <c r="D229" s="4">
        <v>8.6999999999999993</v>
      </c>
      <c r="E229" s="4" t="s">
        <v>37</v>
      </c>
      <c r="F229" s="4">
        <v>7.6</v>
      </c>
      <c r="G229" s="4" t="s">
        <v>38</v>
      </c>
      <c r="H229" s="4"/>
      <c r="I229" s="4">
        <v>4.8</v>
      </c>
      <c r="J229" s="4">
        <v>3</v>
      </c>
      <c r="K229" s="4" t="s">
        <v>29</v>
      </c>
      <c r="L229" s="4" t="s">
        <v>30</v>
      </c>
      <c r="M229" s="4" t="s">
        <v>36</v>
      </c>
    </row>
    <row r="230" spans="1:13" x14ac:dyDescent="0.3">
      <c r="A230" s="4">
        <v>46185.610306689814</v>
      </c>
      <c r="B230" s="4">
        <v>20</v>
      </c>
      <c r="C230" s="4" t="s">
        <v>22</v>
      </c>
      <c r="D230" s="4">
        <v>2.4</v>
      </c>
      <c r="E230" s="4" t="s">
        <v>15</v>
      </c>
      <c r="F230" s="4">
        <v>6.1</v>
      </c>
      <c r="G230" s="4" t="s">
        <v>47</v>
      </c>
      <c r="H230" s="4"/>
      <c r="I230" s="4">
        <v>7.5</v>
      </c>
      <c r="J230" s="4">
        <v>2</v>
      </c>
      <c r="K230" s="4" t="s">
        <v>29</v>
      </c>
      <c r="L230" s="4" t="s">
        <v>19</v>
      </c>
      <c r="M230" s="4" t="s">
        <v>36</v>
      </c>
    </row>
    <row r="231" spans="1:13" ht="28.8" x14ac:dyDescent="0.3">
      <c r="A231" s="4">
        <v>46185.610333842589</v>
      </c>
      <c r="B231" s="4">
        <v>17</v>
      </c>
      <c r="C231" s="4" t="s">
        <v>22</v>
      </c>
      <c r="D231" s="4">
        <v>4.5999999999999996</v>
      </c>
      <c r="E231" s="4" t="s">
        <v>42</v>
      </c>
      <c r="F231" s="4">
        <v>5.5</v>
      </c>
      <c r="G231" s="4" t="s">
        <v>24</v>
      </c>
      <c r="H231" s="4"/>
      <c r="I231" s="4">
        <v>3.1</v>
      </c>
      <c r="J231" s="4">
        <v>6</v>
      </c>
      <c r="K231" s="4" t="s">
        <v>39</v>
      </c>
      <c r="L231" s="4" t="s">
        <v>19</v>
      </c>
      <c r="M231" s="4" t="s">
        <v>45</v>
      </c>
    </row>
    <row r="232" spans="1:13" x14ac:dyDescent="0.3">
      <c r="A232" s="4">
        <v>46185.610360439816</v>
      </c>
      <c r="B232" s="4">
        <v>18</v>
      </c>
      <c r="C232" s="4" t="s">
        <v>22</v>
      </c>
      <c r="D232" s="4">
        <v>6.4</v>
      </c>
      <c r="E232" s="4" t="s">
        <v>27</v>
      </c>
      <c r="F232" s="4">
        <v>11.3</v>
      </c>
      <c r="G232" s="4" t="s">
        <v>38</v>
      </c>
      <c r="H232" s="4"/>
      <c r="I232" s="4">
        <v>3.4</v>
      </c>
      <c r="J232" s="4">
        <v>5</v>
      </c>
      <c r="K232" s="4" t="s">
        <v>39</v>
      </c>
      <c r="L232" s="4" t="s">
        <v>45</v>
      </c>
      <c r="M232" s="4" t="s">
        <v>20</v>
      </c>
    </row>
    <row r="233" spans="1:13" x14ac:dyDescent="0.3">
      <c r="A233" s="4">
        <v>46185.610388032408</v>
      </c>
      <c r="B233" s="4">
        <v>18</v>
      </c>
      <c r="C233" s="4" t="s">
        <v>14</v>
      </c>
      <c r="D233" s="4">
        <v>8.4</v>
      </c>
      <c r="E233" s="4" t="s">
        <v>37</v>
      </c>
      <c r="F233" s="4">
        <v>12.7</v>
      </c>
      <c r="G233" s="4" t="s">
        <v>38</v>
      </c>
      <c r="H233" s="4"/>
      <c r="I233" s="4">
        <v>3.8</v>
      </c>
      <c r="J233" s="4">
        <v>7</v>
      </c>
      <c r="K233" s="4" t="s">
        <v>39</v>
      </c>
      <c r="L233" s="4" t="s">
        <v>30</v>
      </c>
      <c r="M233" s="4" t="s">
        <v>45</v>
      </c>
    </row>
    <row r="234" spans="1:13" x14ac:dyDescent="0.3">
      <c r="A234" s="4">
        <v>46185.610410300927</v>
      </c>
      <c r="B234" s="4">
        <v>18</v>
      </c>
      <c r="C234" s="4" t="s">
        <v>14</v>
      </c>
      <c r="D234" s="4">
        <v>6.2</v>
      </c>
      <c r="E234" s="4" t="s">
        <v>23</v>
      </c>
      <c r="F234" s="4">
        <v>4.3</v>
      </c>
      <c r="G234" s="4" t="s">
        <v>35</v>
      </c>
      <c r="H234" s="4"/>
      <c r="I234" s="4">
        <v>2.5</v>
      </c>
      <c r="J234" s="4">
        <v>3</v>
      </c>
      <c r="K234" s="4" t="s">
        <v>39</v>
      </c>
      <c r="L234" s="4" t="s">
        <v>45</v>
      </c>
      <c r="M234" s="4" t="s">
        <v>45</v>
      </c>
    </row>
    <row r="235" spans="1:13" ht="28.8" x14ac:dyDescent="0.3">
      <c r="A235" s="4">
        <v>46185.610429374996</v>
      </c>
      <c r="B235" s="4">
        <v>22</v>
      </c>
      <c r="C235" s="4" t="s">
        <v>40</v>
      </c>
      <c r="D235" s="4">
        <v>7.9</v>
      </c>
      <c r="E235" s="4" t="s">
        <v>34</v>
      </c>
      <c r="F235" s="4">
        <v>13</v>
      </c>
      <c r="G235" s="4" t="s">
        <v>24</v>
      </c>
      <c r="H235" s="4"/>
      <c r="I235" s="4">
        <v>7</v>
      </c>
      <c r="J235" s="4">
        <v>9</v>
      </c>
      <c r="K235" s="4" t="s">
        <v>33</v>
      </c>
      <c r="L235" s="4" t="s">
        <v>19</v>
      </c>
      <c r="M235" s="4" t="s">
        <v>45</v>
      </c>
    </row>
    <row r="236" spans="1:13" ht="28.8" x14ac:dyDescent="0.3">
      <c r="A236" s="4">
        <v>46185.610455787042</v>
      </c>
      <c r="B236" s="4">
        <v>16</v>
      </c>
      <c r="C236" s="4" t="s">
        <v>22</v>
      </c>
      <c r="D236" s="4">
        <v>9.4</v>
      </c>
      <c r="E236" s="4" t="s">
        <v>37</v>
      </c>
      <c r="F236" s="4">
        <v>4.5999999999999996</v>
      </c>
      <c r="G236" s="4" t="s">
        <v>24</v>
      </c>
      <c r="H236" s="4"/>
      <c r="I236" s="4">
        <v>2.5</v>
      </c>
      <c r="J236" s="4">
        <v>2</v>
      </c>
      <c r="K236" s="4" t="s">
        <v>29</v>
      </c>
      <c r="L236" s="4" t="s">
        <v>45</v>
      </c>
      <c r="M236" s="4" t="s">
        <v>45</v>
      </c>
    </row>
    <row r="237" spans="1:13" ht="28.8" x14ac:dyDescent="0.3">
      <c r="A237" s="4">
        <v>46185.610482083328</v>
      </c>
      <c r="B237" s="4">
        <v>19</v>
      </c>
      <c r="C237" s="4" t="s">
        <v>14</v>
      </c>
      <c r="D237" s="4">
        <v>7.4</v>
      </c>
      <c r="E237" s="4" t="s">
        <v>42</v>
      </c>
      <c r="F237" s="4">
        <v>12.4</v>
      </c>
      <c r="G237" s="4" t="s">
        <v>24</v>
      </c>
      <c r="H237" s="4"/>
      <c r="I237" s="4">
        <v>7.2</v>
      </c>
      <c r="J237" s="4">
        <v>1</v>
      </c>
      <c r="K237" s="4" t="s">
        <v>29</v>
      </c>
      <c r="L237" s="4" t="s">
        <v>25</v>
      </c>
      <c r="M237" s="4" t="s">
        <v>30</v>
      </c>
    </row>
    <row r="238" spans="1:13" x14ac:dyDescent="0.3">
      <c r="A238" s="4">
        <v>46185.610503634263</v>
      </c>
      <c r="B238" s="4">
        <v>34</v>
      </c>
      <c r="C238" s="4" t="s">
        <v>22</v>
      </c>
      <c r="D238" s="4">
        <v>3.3</v>
      </c>
      <c r="E238" s="4" t="s">
        <v>37</v>
      </c>
      <c r="F238" s="4">
        <v>9.5</v>
      </c>
      <c r="G238" s="4" t="s">
        <v>41</v>
      </c>
      <c r="H238" s="4"/>
      <c r="I238" s="4">
        <v>6.3</v>
      </c>
      <c r="J238" s="4">
        <v>8</v>
      </c>
      <c r="K238" s="4" t="s">
        <v>39</v>
      </c>
      <c r="L238" s="4" t="s">
        <v>25</v>
      </c>
      <c r="M238" s="4" t="s">
        <v>20</v>
      </c>
    </row>
    <row r="239" spans="1:13" x14ac:dyDescent="0.3">
      <c r="A239" s="4">
        <v>46185.610525069445</v>
      </c>
      <c r="B239" s="4">
        <v>28</v>
      </c>
      <c r="C239" s="4" t="s">
        <v>14</v>
      </c>
      <c r="D239" s="4">
        <v>9.4</v>
      </c>
      <c r="E239" s="4" t="s">
        <v>23</v>
      </c>
      <c r="F239" s="4">
        <v>10.6</v>
      </c>
      <c r="G239" s="4" t="s">
        <v>46</v>
      </c>
      <c r="H239" s="4"/>
      <c r="I239" s="4">
        <v>1.3</v>
      </c>
      <c r="J239" s="4">
        <v>1</v>
      </c>
      <c r="K239" s="4" t="s">
        <v>33</v>
      </c>
      <c r="L239" s="4" t="s">
        <v>45</v>
      </c>
      <c r="M239" s="4" t="s">
        <v>36</v>
      </c>
    </row>
    <row r="240" spans="1:13" x14ac:dyDescent="0.3">
      <c r="A240" s="4">
        <v>46185.610548425924</v>
      </c>
      <c r="B240" s="4">
        <v>20</v>
      </c>
      <c r="C240" s="4" t="s">
        <v>40</v>
      </c>
      <c r="D240" s="4">
        <v>5</v>
      </c>
      <c r="E240" s="4" t="s">
        <v>42</v>
      </c>
      <c r="F240" s="4">
        <v>12.6</v>
      </c>
      <c r="G240" s="4" t="s">
        <v>28</v>
      </c>
      <c r="H240" s="4"/>
      <c r="I240" s="4">
        <v>2.9</v>
      </c>
      <c r="J240" s="4">
        <v>4</v>
      </c>
      <c r="K240" s="4" t="s">
        <v>29</v>
      </c>
      <c r="L240" s="4" t="s">
        <v>30</v>
      </c>
      <c r="M240" s="4" t="s">
        <v>20</v>
      </c>
    </row>
    <row r="241" spans="1:13" x14ac:dyDescent="0.3">
      <c r="A241" s="4">
        <v>46185.610567638891</v>
      </c>
      <c r="B241" s="4">
        <v>19</v>
      </c>
      <c r="C241" s="4" t="s">
        <v>14</v>
      </c>
      <c r="D241" s="4">
        <v>9.1</v>
      </c>
      <c r="E241" s="4" t="s">
        <v>44</v>
      </c>
      <c r="F241" s="4">
        <v>6.1</v>
      </c>
      <c r="G241" s="4" t="s">
        <v>46</v>
      </c>
      <c r="H241" s="4"/>
      <c r="I241" s="4">
        <v>5.4</v>
      </c>
      <c r="J241" s="4">
        <v>4</v>
      </c>
      <c r="K241" s="4" t="s">
        <v>39</v>
      </c>
      <c r="L241" s="4" t="s">
        <v>30</v>
      </c>
      <c r="M241" s="4" t="s">
        <v>36</v>
      </c>
    </row>
    <row r="242" spans="1:13" x14ac:dyDescent="0.3">
      <c r="A242" s="4">
        <v>46185.610586412033</v>
      </c>
      <c r="B242" s="4">
        <v>32</v>
      </c>
      <c r="C242" s="4" t="s">
        <v>14</v>
      </c>
      <c r="D242" s="4">
        <v>6.4</v>
      </c>
      <c r="E242" s="4" t="s">
        <v>44</v>
      </c>
      <c r="F242" s="4">
        <v>12</v>
      </c>
      <c r="G242" s="4" t="s">
        <v>47</v>
      </c>
      <c r="H242" s="4"/>
      <c r="I242" s="4">
        <v>2</v>
      </c>
      <c r="J242" s="4">
        <v>8</v>
      </c>
      <c r="K242" s="4" t="s">
        <v>39</v>
      </c>
      <c r="L242" s="4" t="s">
        <v>19</v>
      </c>
      <c r="M242" s="4" t="s">
        <v>20</v>
      </c>
    </row>
    <row r="243" spans="1:13" x14ac:dyDescent="0.3">
      <c r="A243" s="4">
        <v>46185.610609351847</v>
      </c>
      <c r="B243" s="4">
        <v>19</v>
      </c>
      <c r="C243" s="4" t="s">
        <v>40</v>
      </c>
      <c r="D243" s="4">
        <v>3</v>
      </c>
      <c r="E243" s="4" t="s">
        <v>27</v>
      </c>
      <c r="F243" s="4">
        <v>8.1999999999999993</v>
      </c>
      <c r="G243" s="4" t="s">
        <v>41</v>
      </c>
      <c r="H243" s="4"/>
      <c r="I243" s="4">
        <v>6.4</v>
      </c>
      <c r="J243" s="4">
        <v>2</v>
      </c>
      <c r="K243" s="4" t="s">
        <v>29</v>
      </c>
      <c r="L243" s="4" t="s">
        <v>25</v>
      </c>
      <c r="M243" s="4" t="s">
        <v>20</v>
      </c>
    </row>
    <row r="244" spans="1:13" x14ac:dyDescent="0.3">
      <c r="A244" s="4">
        <v>46185.610630092589</v>
      </c>
      <c r="B244" s="4">
        <v>22</v>
      </c>
      <c r="C244" s="4" t="s">
        <v>40</v>
      </c>
      <c r="D244" s="4">
        <v>2.6</v>
      </c>
      <c r="E244" s="4" t="s">
        <v>34</v>
      </c>
      <c r="F244" s="4">
        <v>13.1</v>
      </c>
      <c r="G244" s="4" t="s">
        <v>35</v>
      </c>
      <c r="H244" s="4"/>
      <c r="I244" s="4">
        <v>2.2999999999999998</v>
      </c>
      <c r="J244" s="4">
        <v>4</v>
      </c>
      <c r="K244" s="4" t="s">
        <v>29</v>
      </c>
      <c r="L244" s="4" t="s">
        <v>30</v>
      </c>
      <c r="M244" s="4" t="s">
        <v>20</v>
      </c>
    </row>
    <row r="245" spans="1:13" x14ac:dyDescent="0.3">
      <c r="A245" s="4">
        <v>46185.610656631943</v>
      </c>
      <c r="B245" s="4">
        <v>23</v>
      </c>
      <c r="C245" s="4" t="s">
        <v>22</v>
      </c>
      <c r="D245" s="4">
        <v>6.3</v>
      </c>
      <c r="E245" s="4" t="s">
        <v>34</v>
      </c>
      <c r="F245" s="4">
        <v>9.3000000000000007</v>
      </c>
      <c r="G245" s="4" t="s">
        <v>32</v>
      </c>
      <c r="H245" s="4"/>
      <c r="I245" s="4">
        <v>2</v>
      </c>
      <c r="J245" s="4">
        <v>9</v>
      </c>
      <c r="K245" s="4" t="s">
        <v>33</v>
      </c>
      <c r="L245" s="4" t="s">
        <v>25</v>
      </c>
      <c r="M245" s="4" t="s">
        <v>20</v>
      </c>
    </row>
    <row r="246" spans="1:13" x14ac:dyDescent="0.3">
      <c r="A246" s="4">
        <v>46185.61067819444</v>
      </c>
      <c r="B246" s="4">
        <v>30</v>
      </c>
      <c r="C246" s="4" t="s">
        <v>40</v>
      </c>
      <c r="D246" s="4">
        <v>7.9</v>
      </c>
      <c r="E246" s="4" t="s">
        <v>34</v>
      </c>
      <c r="F246" s="4">
        <v>10.5</v>
      </c>
      <c r="G246" s="4" t="s">
        <v>47</v>
      </c>
      <c r="H246" s="4"/>
      <c r="I246" s="4">
        <v>7.1</v>
      </c>
      <c r="J246" s="4">
        <v>2</v>
      </c>
      <c r="K246" s="4" t="s">
        <v>33</v>
      </c>
      <c r="L246" s="4" t="s">
        <v>30</v>
      </c>
      <c r="M246" s="4" t="s">
        <v>36</v>
      </c>
    </row>
    <row r="247" spans="1:13" x14ac:dyDescent="0.3">
      <c r="A247" s="4">
        <v>46185.610699606477</v>
      </c>
      <c r="B247" s="4">
        <v>28</v>
      </c>
      <c r="C247" s="4" t="s">
        <v>40</v>
      </c>
      <c r="D247" s="4">
        <v>7.2</v>
      </c>
      <c r="E247" s="4" t="s">
        <v>15</v>
      </c>
      <c r="F247" s="4">
        <v>5.5</v>
      </c>
      <c r="G247" s="4" t="s">
        <v>46</v>
      </c>
      <c r="H247" s="4"/>
      <c r="I247" s="4">
        <v>5.0999999999999996</v>
      </c>
      <c r="J247" s="4">
        <v>3</v>
      </c>
      <c r="K247" s="4" t="s">
        <v>39</v>
      </c>
      <c r="L247" s="4" t="s">
        <v>19</v>
      </c>
      <c r="M247" s="4" t="s">
        <v>30</v>
      </c>
    </row>
    <row r="248" spans="1:13" x14ac:dyDescent="0.3">
      <c r="A248" s="4">
        <v>46185.610723761572</v>
      </c>
      <c r="B248" s="4">
        <v>31</v>
      </c>
      <c r="C248" s="4" t="s">
        <v>22</v>
      </c>
      <c r="D248" s="4">
        <v>7.6</v>
      </c>
      <c r="E248" s="4" t="s">
        <v>27</v>
      </c>
      <c r="F248" s="4">
        <v>9.8000000000000007</v>
      </c>
      <c r="G248" s="4" t="s">
        <v>41</v>
      </c>
      <c r="H248" s="4"/>
      <c r="I248" s="4">
        <v>4.5</v>
      </c>
      <c r="J248" s="4">
        <v>3</v>
      </c>
      <c r="K248" s="4" t="s">
        <v>29</v>
      </c>
      <c r="L248" s="4" t="s">
        <v>25</v>
      </c>
      <c r="M248" s="4" t="s">
        <v>20</v>
      </c>
    </row>
    <row r="249" spans="1:13" x14ac:dyDescent="0.3">
      <c r="A249" s="4">
        <v>46185.610748981482</v>
      </c>
      <c r="B249" s="4">
        <v>34</v>
      </c>
      <c r="C249" s="4" t="s">
        <v>40</v>
      </c>
      <c r="D249" s="4">
        <v>5</v>
      </c>
      <c r="E249" s="4" t="s">
        <v>42</v>
      </c>
      <c r="F249" s="4">
        <v>13.9</v>
      </c>
      <c r="G249" s="4" t="s">
        <v>32</v>
      </c>
      <c r="H249" s="4"/>
      <c r="I249" s="4">
        <v>4.4000000000000004</v>
      </c>
      <c r="J249" s="4">
        <v>7</v>
      </c>
      <c r="K249" s="4" t="s">
        <v>39</v>
      </c>
      <c r="L249" s="4" t="s">
        <v>45</v>
      </c>
      <c r="M249" s="4" t="s">
        <v>36</v>
      </c>
    </row>
    <row r="250" spans="1:13" x14ac:dyDescent="0.3">
      <c r="A250" s="4">
        <v>46185.610773622684</v>
      </c>
      <c r="B250" s="4">
        <v>35</v>
      </c>
      <c r="C250" s="4" t="s">
        <v>14</v>
      </c>
      <c r="D250" s="4">
        <v>2.9</v>
      </c>
      <c r="E250" s="4" t="s">
        <v>23</v>
      </c>
      <c r="F250" s="4">
        <v>12.3</v>
      </c>
      <c r="G250" s="4" t="s">
        <v>16</v>
      </c>
      <c r="H250" s="4" t="s">
        <v>76</v>
      </c>
      <c r="I250" s="4">
        <v>5.0999999999999996</v>
      </c>
      <c r="J250" s="4">
        <v>7</v>
      </c>
      <c r="K250" s="4" t="s">
        <v>39</v>
      </c>
      <c r="L250" s="4" t="s">
        <v>30</v>
      </c>
      <c r="M250" s="4" t="s">
        <v>30</v>
      </c>
    </row>
    <row r="251" spans="1:13" ht="28.8" x14ac:dyDescent="0.3">
      <c r="A251" s="4">
        <v>46185.610800254624</v>
      </c>
      <c r="B251" s="4">
        <v>28</v>
      </c>
      <c r="C251" s="4" t="s">
        <v>14</v>
      </c>
      <c r="D251" s="4">
        <v>4.8</v>
      </c>
      <c r="E251" s="4" t="s">
        <v>34</v>
      </c>
      <c r="F251" s="4">
        <v>9.5</v>
      </c>
      <c r="G251" s="4" t="s">
        <v>24</v>
      </c>
      <c r="H251" s="4"/>
      <c r="I251" s="4">
        <v>4.7</v>
      </c>
      <c r="J251" s="4">
        <v>10</v>
      </c>
      <c r="K251" s="4" t="s">
        <v>33</v>
      </c>
      <c r="L251" s="4" t="s">
        <v>19</v>
      </c>
      <c r="M251" s="4" t="s">
        <v>36</v>
      </c>
    </row>
    <row r="252" spans="1:13" x14ac:dyDescent="0.3">
      <c r="A252" s="4">
        <v>46185.610828032412</v>
      </c>
      <c r="B252" s="4">
        <v>20</v>
      </c>
      <c r="C252" s="4" t="s">
        <v>22</v>
      </c>
      <c r="D252" s="4">
        <v>5</v>
      </c>
      <c r="E252" s="4" t="s">
        <v>34</v>
      </c>
      <c r="F252" s="4">
        <v>10.199999999999999</v>
      </c>
      <c r="G252" s="4" t="s">
        <v>38</v>
      </c>
      <c r="H252" s="4"/>
      <c r="I252" s="4">
        <v>7.9</v>
      </c>
      <c r="J252" s="4">
        <v>6</v>
      </c>
      <c r="K252" s="4" t="s">
        <v>33</v>
      </c>
      <c r="L252" s="4" t="s">
        <v>25</v>
      </c>
      <c r="M252" s="4" t="s">
        <v>36</v>
      </c>
    </row>
    <row r="253" spans="1:13" x14ac:dyDescent="0.3">
      <c r="A253" s="4">
        <v>46185.61085592593</v>
      </c>
      <c r="B253" s="4">
        <v>22</v>
      </c>
      <c r="C253" s="4" t="s">
        <v>14</v>
      </c>
      <c r="D253" s="4">
        <v>8.6999999999999993</v>
      </c>
      <c r="E253" s="4" t="s">
        <v>37</v>
      </c>
      <c r="F253" s="4">
        <v>4.4000000000000004</v>
      </c>
      <c r="G253" s="4" t="s">
        <v>16</v>
      </c>
      <c r="H253" s="4" t="s">
        <v>76</v>
      </c>
      <c r="I253" s="4">
        <v>7.6</v>
      </c>
      <c r="J253" s="4">
        <v>6</v>
      </c>
      <c r="K253" s="4" t="s">
        <v>29</v>
      </c>
      <c r="L253" s="4" t="s">
        <v>25</v>
      </c>
      <c r="M253" s="4" t="s">
        <v>45</v>
      </c>
    </row>
    <row r="254" spans="1:13" x14ac:dyDescent="0.3">
      <c r="A254" s="4">
        <v>46185.610883518515</v>
      </c>
      <c r="B254" s="4">
        <v>25</v>
      </c>
      <c r="C254" s="4" t="s">
        <v>14</v>
      </c>
      <c r="D254" s="4">
        <v>2.5</v>
      </c>
      <c r="E254" s="4" t="s">
        <v>27</v>
      </c>
      <c r="F254" s="4">
        <v>12.2</v>
      </c>
      <c r="G254" s="4" t="s">
        <v>28</v>
      </c>
      <c r="H254" s="4"/>
      <c r="I254" s="4">
        <v>4.4000000000000004</v>
      </c>
      <c r="J254" s="4">
        <v>7</v>
      </c>
      <c r="K254" s="4" t="s">
        <v>29</v>
      </c>
      <c r="L254" s="4" t="s">
        <v>30</v>
      </c>
      <c r="M254" s="4" t="s">
        <v>36</v>
      </c>
    </row>
    <row r="255" spans="1:13" x14ac:dyDescent="0.3">
      <c r="A255" s="4">
        <v>46185.610910682866</v>
      </c>
      <c r="B255" s="4">
        <v>29</v>
      </c>
      <c r="C255" s="4" t="s">
        <v>40</v>
      </c>
      <c r="D255" s="4">
        <v>7.3</v>
      </c>
      <c r="E255" s="4" t="s">
        <v>23</v>
      </c>
      <c r="F255" s="4">
        <v>4.7</v>
      </c>
      <c r="G255" s="4" t="s">
        <v>41</v>
      </c>
      <c r="H255" s="4"/>
      <c r="I255" s="4">
        <v>4.4000000000000004</v>
      </c>
      <c r="J255" s="4">
        <v>10</v>
      </c>
      <c r="K255" s="4" t="s">
        <v>18</v>
      </c>
      <c r="L255" s="4" t="s">
        <v>45</v>
      </c>
      <c r="M255" s="4" t="s">
        <v>36</v>
      </c>
    </row>
    <row r="256" spans="1:13" x14ac:dyDescent="0.3">
      <c r="A256" s="4">
        <v>46185.610932488431</v>
      </c>
      <c r="B256" s="4">
        <v>25</v>
      </c>
      <c r="C256" s="4" t="s">
        <v>14</v>
      </c>
      <c r="D256" s="4">
        <v>3</v>
      </c>
      <c r="E256" s="4" t="s">
        <v>15</v>
      </c>
      <c r="F256" s="4">
        <v>13.8</v>
      </c>
      <c r="G256" s="4" t="s">
        <v>46</v>
      </c>
      <c r="H256" s="4"/>
      <c r="I256" s="4">
        <v>7.1</v>
      </c>
      <c r="J256" s="4">
        <v>1</v>
      </c>
      <c r="K256" s="4" t="s">
        <v>29</v>
      </c>
      <c r="L256" s="4" t="s">
        <v>25</v>
      </c>
      <c r="M256" s="4" t="s">
        <v>36</v>
      </c>
    </row>
    <row r="257" spans="1:13" x14ac:dyDescent="0.3">
      <c r="A257" s="4">
        <v>46185.610961134254</v>
      </c>
      <c r="B257" s="4">
        <v>27</v>
      </c>
      <c r="C257" s="4" t="s">
        <v>22</v>
      </c>
      <c r="D257" s="4">
        <v>4.9000000000000004</v>
      </c>
      <c r="E257" s="4" t="s">
        <v>27</v>
      </c>
      <c r="F257" s="4">
        <v>5.5</v>
      </c>
      <c r="G257" s="4" t="s">
        <v>32</v>
      </c>
      <c r="H257" s="4"/>
      <c r="I257" s="4">
        <v>8</v>
      </c>
      <c r="J257" s="4">
        <v>5</v>
      </c>
      <c r="K257" s="4" t="s">
        <v>29</v>
      </c>
      <c r="L257" s="4" t="s">
        <v>19</v>
      </c>
      <c r="M257" s="4" t="s">
        <v>30</v>
      </c>
    </row>
    <row r="258" spans="1:13" x14ac:dyDescent="0.3">
      <c r="A258" s="4">
        <v>46185.610976215277</v>
      </c>
      <c r="B258" s="4">
        <v>28</v>
      </c>
      <c r="C258" s="4" t="s">
        <v>14</v>
      </c>
      <c r="D258" s="4">
        <v>8.5</v>
      </c>
      <c r="E258" s="4" t="s">
        <v>27</v>
      </c>
      <c r="F258" s="4">
        <v>6.3</v>
      </c>
      <c r="G258" s="4" t="s">
        <v>41</v>
      </c>
      <c r="H258" s="4"/>
      <c r="I258" s="4">
        <v>6</v>
      </c>
      <c r="J258" s="4">
        <v>1</v>
      </c>
      <c r="K258" s="4" t="s">
        <v>39</v>
      </c>
      <c r="L258" s="4" t="s">
        <v>19</v>
      </c>
      <c r="M258" s="4" t="s">
        <v>30</v>
      </c>
    </row>
    <row r="259" spans="1:13" x14ac:dyDescent="0.3">
      <c r="A259" s="4">
        <v>46185.611004097227</v>
      </c>
      <c r="B259" s="4">
        <v>21</v>
      </c>
      <c r="C259" s="4" t="s">
        <v>40</v>
      </c>
      <c r="D259" s="4">
        <v>3.3</v>
      </c>
      <c r="E259" s="4" t="s">
        <v>34</v>
      </c>
      <c r="F259" s="4">
        <v>8</v>
      </c>
      <c r="G259" s="4" t="s">
        <v>41</v>
      </c>
      <c r="H259" s="4"/>
      <c r="I259" s="4">
        <v>4</v>
      </c>
      <c r="J259" s="4">
        <v>6</v>
      </c>
      <c r="K259" s="4" t="s">
        <v>33</v>
      </c>
      <c r="L259" s="4" t="s">
        <v>45</v>
      </c>
      <c r="M259" s="4" t="s">
        <v>20</v>
      </c>
    </row>
    <row r="260" spans="1:13" x14ac:dyDescent="0.3">
      <c r="A260" s="4">
        <v>46185.611023668986</v>
      </c>
      <c r="B260" s="4">
        <v>20</v>
      </c>
      <c r="C260" s="4" t="s">
        <v>14</v>
      </c>
      <c r="D260" s="4">
        <v>4.5999999999999996</v>
      </c>
      <c r="E260" s="4" t="s">
        <v>27</v>
      </c>
      <c r="F260" s="4">
        <v>6.8</v>
      </c>
      <c r="G260" s="4" t="s">
        <v>28</v>
      </c>
      <c r="H260" s="4"/>
      <c r="I260" s="4">
        <v>7.3</v>
      </c>
      <c r="J260" s="4">
        <v>10</v>
      </c>
      <c r="K260" s="4" t="s">
        <v>33</v>
      </c>
      <c r="L260" s="4" t="s">
        <v>30</v>
      </c>
      <c r="M260" s="4" t="s">
        <v>45</v>
      </c>
    </row>
    <row r="261" spans="1:13" x14ac:dyDescent="0.3">
      <c r="A261" s="4">
        <v>46185.611053148154</v>
      </c>
      <c r="B261" s="4">
        <v>30</v>
      </c>
      <c r="C261" s="4" t="s">
        <v>40</v>
      </c>
      <c r="D261" s="4">
        <v>6.7</v>
      </c>
      <c r="E261" s="4" t="s">
        <v>34</v>
      </c>
      <c r="F261" s="4">
        <v>7.1</v>
      </c>
      <c r="G261" s="4" t="s">
        <v>47</v>
      </c>
      <c r="H261" s="4"/>
      <c r="I261" s="4">
        <v>4.2</v>
      </c>
      <c r="J261" s="4">
        <v>7</v>
      </c>
      <c r="K261" s="4" t="s">
        <v>29</v>
      </c>
      <c r="L261" s="4" t="s">
        <v>30</v>
      </c>
      <c r="M261" s="4" t="s">
        <v>20</v>
      </c>
    </row>
    <row r="262" spans="1:13" x14ac:dyDescent="0.3">
      <c r="A262" s="4">
        <v>46185.611078784721</v>
      </c>
      <c r="B262" s="4">
        <v>29</v>
      </c>
      <c r="C262" s="4" t="s">
        <v>14</v>
      </c>
      <c r="D262" s="4">
        <v>8</v>
      </c>
      <c r="E262" s="4" t="s">
        <v>27</v>
      </c>
      <c r="F262" s="4">
        <v>5.9</v>
      </c>
      <c r="G262" s="4" t="s">
        <v>28</v>
      </c>
      <c r="H262" s="4"/>
      <c r="I262" s="4">
        <v>4.7</v>
      </c>
      <c r="J262" s="4">
        <v>3</v>
      </c>
      <c r="K262" s="4" t="s">
        <v>33</v>
      </c>
      <c r="L262" s="4" t="s">
        <v>45</v>
      </c>
      <c r="M262" s="4" t="s">
        <v>20</v>
      </c>
    </row>
    <row r="263" spans="1:13" x14ac:dyDescent="0.3">
      <c r="A263" s="4">
        <v>46185.611096759254</v>
      </c>
      <c r="B263" s="4">
        <v>25</v>
      </c>
      <c r="C263" s="4" t="s">
        <v>14</v>
      </c>
      <c r="D263" s="4">
        <v>4.8</v>
      </c>
      <c r="E263" s="4" t="s">
        <v>27</v>
      </c>
      <c r="F263" s="4">
        <v>5.9</v>
      </c>
      <c r="G263" s="4" t="s">
        <v>46</v>
      </c>
      <c r="H263" s="4"/>
      <c r="I263" s="4">
        <v>5.5</v>
      </c>
      <c r="J263" s="4">
        <v>10</v>
      </c>
      <c r="K263" s="4" t="s">
        <v>39</v>
      </c>
      <c r="L263" s="4" t="s">
        <v>30</v>
      </c>
      <c r="M263" s="4" t="s">
        <v>36</v>
      </c>
    </row>
    <row r="264" spans="1:13" x14ac:dyDescent="0.3">
      <c r="A264" s="4">
        <v>46185.611121851849</v>
      </c>
      <c r="B264" s="4">
        <v>22</v>
      </c>
      <c r="C264" s="4" t="s">
        <v>22</v>
      </c>
      <c r="D264" s="4">
        <v>4.5999999999999996</v>
      </c>
      <c r="E264" s="4" t="s">
        <v>15</v>
      </c>
      <c r="F264" s="4">
        <v>9.3000000000000007</v>
      </c>
      <c r="G264" s="4" t="s">
        <v>38</v>
      </c>
      <c r="H264" s="4"/>
      <c r="I264" s="4">
        <v>1.1000000000000001</v>
      </c>
      <c r="J264" s="4">
        <v>4</v>
      </c>
      <c r="K264" s="4" t="s">
        <v>18</v>
      </c>
      <c r="L264" s="4" t="s">
        <v>30</v>
      </c>
      <c r="M264" s="4" t="s">
        <v>45</v>
      </c>
    </row>
    <row r="265" spans="1:13" ht="28.8" x14ac:dyDescent="0.3">
      <c r="A265" s="4">
        <v>46185.6111403588</v>
      </c>
      <c r="B265" s="4">
        <v>33</v>
      </c>
      <c r="C265" s="4" t="s">
        <v>40</v>
      </c>
      <c r="D265" s="4">
        <v>5.7</v>
      </c>
      <c r="E265" s="4" t="s">
        <v>23</v>
      </c>
      <c r="F265" s="4">
        <v>5</v>
      </c>
      <c r="G265" s="4" t="s">
        <v>24</v>
      </c>
      <c r="H265" s="4"/>
      <c r="I265" s="4">
        <v>3.2</v>
      </c>
      <c r="J265" s="4">
        <v>8</v>
      </c>
      <c r="K265" s="4" t="s">
        <v>33</v>
      </c>
      <c r="L265" s="4" t="s">
        <v>45</v>
      </c>
      <c r="M265" s="4" t="s">
        <v>36</v>
      </c>
    </row>
    <row r="266" spans="1:13" x14ac:dyDescent="0.3">
      <c r="A266" s="4">
        <v>46185.611163067129</v>
      </c>
      <c r="B266" s="4">
        <v>17</v>
      </c>
      <c r="C266" s="4" t="s">
        <v>40</v>
      </c>
      <c r="D266" s="4">
        <v>2.5</v>
      </c>
      <c r="E266" s="4" t="s">
        <v>15</v>
      </c>
      <c r="F266" s="4">
        <v>7.5</v>
      </c>
      <c r="G266" s="4" t="s">
        <v>47</v>
      </c>
      <c r="H266" s="4"/>
      <c r="I266" s="4">
        <v>4.5999999999999996</v>
      </c>
      <c r="J266" s="4">
        <v>10</v>
      </c>
      <c r="K266" s="4" t="s">
        <v>39</v>
      </c>
      <c r="L266" s="4" t="s">
        <v>45</v>
      </c>
      <c r="M266" s="4" t="s">
        <v>45</v>
      </c>
    </row>
    <row r="267" spans="1:13" x14ac:dyDescent="0.3">
      <c r="A267" s="4">
        <v>46185.611184710651</v>
      </c>
      <c r="B267" s="4">
        <v>30</v>
      </c>
      <c r="C267" s="4" t="s">
        <v>14</v>
      </c>
      <c r="D267" s="4">
        <v>9.9</v>
      </c>
      <c r="E267" s="4" t="s">
        <v>37</v>
      </c>
      <c r="F267" s="4">
        <v>8.5</v>
      </c>
      <c r="G267" s="4" t="s">
        <v>43</v>
      </c>
      <c r="H267" s="4"/>
      <c r="I267" s="4">
        <v>5.5</v>
      </c>
      <c r="J267" s="4">
        <v>4</v>
      </c>
      <c r="K267" s="4" t="s">
        <v>33</v>
      </c>
      <c r="L267" s="4" t="s">
        <v>30</v>
      </c>
      <c r="M267" s="4" t="s">
        <v>36</v>
      </c>
    </row>
    <row r="268" spans="1:13" x14ac:dyDescent="0.3">
      <c r="A268" s="4">
        <v>46185.611211516203</v>
      </c>
      <c r="B268" s="4">
        <v>24</v>
      </c>
      <c r="C268" s="4" t="s">
        <v>14</v>
      </c>
      <c r="D268" s="4">
        <v>5.9</v>
      </c>
      <c r="E268" s="4" t="s">
        <v>44</v>
      </c>
      <c r="F268" s="4">
        <v>4.0999999999999996</v>
      </c>
      <c r="G268" s="4" t="s">
        <v>32</v>
      </c>
      <c r="H268" s="4"/>
      <c r="I268" s="4">
        <v>5.7</v>
      </c>
      <c r="J268" s="4">
        <v>4</v>
      </c>
      <c r="K268" s="4" t="s">
        <v>39</v>
      </c>
      <c r="L268" s="4" t="s">
        <v>19</v>
      </c>
      <c r="M268" s="4" t="s">
        <v>36</v>
      </c>
    </row>
    <row r="269" spans="1:13" ht="28.8" x14ac:dyDescent="0.3">
      <c r="A269" s="4">
        <v>46185.611229363421</v>
      </c>
      <c r="B269" s="4">
        <v>18</v>
      </c>
      <c r="C269" s="4" t="s">
        <v>22</v>
      </c>
      <c r="D269" s="4">
        <v>6.7</v>
      </c>
      <c r="E269" s="4" t="s">
        <v>44</v>
      </c>
      <c r="F269" s="4">
        <v>8.6999999999999993</v>
      </c>
      <c r="G269" s="4" t="s">
        <v>24</v>
      </c>
      <c r="H269" s="4"/>
      <c r="I269" s="4">
        <v>7.9</v>
      </c>
      <c r="J269" s="4">
        <v>7</v>
      </c>
      <c r="K269" s="4" t="s">
        <v>33</v>
      </c>
      <c r="L269" s="4" t="s">
        <v>30</v>
      </c>
      <c r="M269" s="4" t="s">
        <v>20</v>
      </c>
    </row>
    <row r="270" spans="1:13" x14ac:dyDescent="0.3">
      <c r="A270" s="4">
        <v>46185.611249502312</v>
      </c>
      <c r="B270" s="4">
        <v>22</v>
      </c>
      <c r="C270" s="4" t="s">
        <v>22</v>
      </c>
      <c r="D270" s="4">
        <v>9.3000000000000007</v>
      </c>
      <c r="E270" s="4" t="s">
        <v>37</v>
      </c>
      <c r="F270" s="4">
        <v>6</v>
      </c>
      <c r="G270" s="4" t="s">
        <v>43</v>
      </c>
      <c r="H270" s="4"/>
      <c r="I270" s="4">
        <v>1.9</v>
      </c>
      <c r="J270" s="4">
        <v>3</v>
      </c>
      <c r="K270" s="4" t="s">
        <v>18</v>
      </c>
      <c r="L270" s="4" t="s">
        <v>25</v>
      </c>
      <c r="M270" s="4" t="s">
        <v>30</v>
      </c>
    </row>
    <row r="271" spans="1:13" x14ac:dyDescent="0.3">
      <c r="A271" s="4">
        <v>46185.611277673612</v>
      </c>
      <c r="B271" s="4">
        <v>18</v>
      </c>
      <c r="C271" s="4" t="s">
        <v>14</v>
      </c>
      <c r="D271" s="4">
        <v>9.1</v>
      </c>
      <c r="E271" s="4" t="s">
        <v>44</v>
      </c>
      <c r="F271" s="4">
        <v>6.4</v>
      </c>
      <c r="G271" s="4" t="s">
        <v>46</v>
      </c>
      <c r="H271" s="4"/>
      <c r="I271" s="4">
        <v>7.9</v>
      </c>
      <c r="J271" s="4">
        <v>6</v>
      </c>
      <c r="K271" s="4" t="s">
        <v>33</v>
      </c>
      <c r="L271" s="4" t="s">
        <v>30</v>
      </c>
      <c r="M271" s="4" t="s">
        <v>36</v>
      </c>
    </row>
    <row r="272" spans="1:13" x14ac:dyDescent="0.3">
      <c r="A272" s="4">
        <v>46185.611304062499</v>
      </c>
      <c r="B272" s="4">
        <v>20</v>
      </c>
      <c r="C272" s="4" t="s">
        <v>40</v>
      </c>
      <c r="D272" s="4">
        <v>9.3000000000000007</v>
      </c>
      <c r="E272" s="4" t="s">
        <v>15</v>
      </c>
      <c r="F272" s="4">
        <v>8.6</v>
      </c>
      <c r="G272" s="4" t="s">
        <v>16</v>
      </c>
      <c r="H272" s="4" t="s">
        <v>51</v>
      </c>
      <c r="I272" s="4">
        <v>5.8</v>
      </c>
      <c r="J272" s="4">
        <v>4</v>
      </c>
      <c r="K272" s="4" t="s">
        <v>18</v>
      </c>
      <c r="L272" s="4" t="s">
        <v>30</v>
      </c>
      <c r="M272" s="4" t="s">
        <v>45</v>
      </c>
    </row>
    <row r="273" spans="1:13" x14ac:dyDescent="0.3">
      <c r="A273" s="4">
        <v>46185.611321273143</v>
      </c>
      <c r="B273" s="4">
        <v>32</v>
      </c>
      <c r="C273" s="4" t="s">
        <v>14</v>
      </c>
      <c r="D273" s="4">
        <v>6.9</v>
      </c>
      <c r="E273" s="4" t="s">
        <v>42</v>
      </c>
      <c r="F273" s="4">
        <v>5.7</v>
      </c>
      <c r="G273" s="4" t="s">
        <v>43</v>
      </c>
      <c r="H273" s="4"/>
      <c r="I273" s="4">
        <v>2.2000000000000002</v>
      </c>
      <c r="J273" s="4">
        <v>3</v>
      </c>
      <c r="K273" s="4" t="s">
        <v>39</v>
      </c>
      <c r="L273" s="4" t="s">
        <v>45</v>
      </c>
      <c r="M273" s="4" t="s">
        <v>30</v>
      </c>
    </row>
    <row r="274" spans="1:13" x14ac:dyDescent="0.3">
      <c r="A274" s="4">
        <v>46185.611344803241</v>
      </c>
      <c r="B274" s="4">
        <v>17</v>
      </c>
      <c r="C274" s="4" t="s">
        <v>14</v>
      </c>
      <c r="D274" s="4">
        <v>5.0999999999999996</v>
      </c>
      <c r="E274" s="4" t="s">
        <v>37</v>
      </c>
      <c r="F274" s="4">
        <v>6.1</v>
      </c>
      <c r="G274" s="4" t="s">
        <v>47</v>
      </c>
      <c r="H274" s="4"/>
      <c r="I274" s="4">
        <v>7.9</v>
      </c>
      <c r="J274" s="4">
        <v>2</v>
      </c>
      <c r="K274" s="4" t="s">
        <v>39</v>
      </c>
      <c r="L274" s="4" t="s">
        <v>30</v>
      </c>
      <c r="M274" s="4" t="s">
        <v>45</v>
      </c>
    </row>
    <row r="275" spans="1:13" x14ac:dyDescent="0.3">
      <c r="A275" s="4">
        <v>46185.611364143522</v>
      </c>
      <c r="B275" s="4">
        <v>32</v>
      </c>
      <c r="C275" s="4" t="s">
        <v>22</v>
      </c>
      <c r="D275" s="4">
        <v>9.8000000000000007</v>
      </c>
      <c r="E275" s="4" t="s">
        <v>37</v>
      </c>
      <c r="F275" s="4">
        <v>4.4000000000000004</v>
      </c>
      <c r="G275" s="4" t="s">
        <v>16</v>
      </c>
      <c r="H275" s="4" t="s">
        <v>52</v>
      </c>
      <c r="I275" s="4">
        <v>2.5</v>
      </c>
      <c r="J275" s="4">
        <v>10</v>
      </c>
      <c r="K275" s="4" t="s">
        <v>29</v>
      </c>
      <c r="L275" s="4" t="s">
        <v>19</v>
      </c>
      <c r="M275" s="4" t="s">
        <v>45</v>
      </c>
    </row>
    <row r="276" spans="1:13" x14ac:dyDescent="0.3">
      <c r="A276" s="4">
        <v>46185.61138905093</v>
      </c>
      <c r="B276" s="4">
        <v>21</v>
      </c>
      <c r="C276" s="4" t="s">
        <v>40</v>
      </c>
      <c r="D276" s="4">
        <v>7.6</v>
      </c>
      <c r="E276" s="4" t="s">
        <v>42</v>
      </c>
      <c r="F276" s="4">
        <v>4.0999999999999996</v>
      </c>
      <c r="G276" s="4" t="s">
        <v>43</v>
      </c>
      <c r="H276" s="4"/>
      <c r="I276" s="4">
        <v>2.8</v>
      </c>
      <c r="J276" s="4">
        <v>7</v>
      </c>
      <c r="K276" s="4" t="s">
        <v>29</v>
      </c>
      <c r="L276" s="4" t="s">
        <v>45</v>
      </c>
      <c r="M276" s="4" t="s">
        <v>30</v>
      </c>
    </row>
    <row r="277" spans="1:13" x14ac:dyDescent="0.3">
      <c r="A277" s="4">
        <v>46185.611413912033</v>
      </c>
      <c r="B277" s="4">
        <v>29</v>
      </c>
      <c r="C277" s="4" t="s">
        <v>40</v>
      </c>
      <c r="D277" s="4">
        <v>8.4</v>
      </c>
      <c r="E277" s="4" t="s">
        <v>27</v>
      </c>
      <c r="F277" s="4">
        <v>5.2</v>
      </c>
      <c r="G277" s="4" t="s">
        <v>35</v>
      </c>
      <c r="H277" s="4"/>
      <c r="I277" s="4">
        <v>1.9</v>
      </c>
      <c r="J277" s="4">
        <v>9</v>
      </c>
      <c r="K277" s="4" t="s">
        <v>33</v>
      </c>
      <c r="L277" s="4" t="s">
        <v>45</v>
      </c>
      <c r="M277" s="4" t="s">
        <v>30</v>
      </c>
    </row>
    <row r="278" spans="1:13" x14ac:dyDescent="0.3">
      <c r="A278" s="4">
        <v>46185.611436793981</v>
      </c>
      <c r="B278" s="4">
        <v>32</v>
      </c>
      <c r="C278" s="4" t="s">
        <v>22</v>
      </c>
      <c r="D278" s="4">
        <v>2.8</v>
      </c>
      <c r="E278" s="4" t="s">
        <v>42</v>
      </c>
      <c r="F278" s="4">
        <v>12.8</v>
      </c>
      <c r="G278" s="4" t="s">
        <v>28</v>
      </c>
      <c r="H278" s="4"/>
      <c r="I278" s="4">
        <v>2.7</v>
      </c>
      <c r="J278" s="4">
        <v>9</v>
      </c>
      <c r="K278" s="4" t="s">
        <v>29</v>
      </c>
      <c r="L278" s="4" t="s">
        <v>30</v>
      </c>
      <c r="M278" s="4" t="s">
        <v>20</v>
      </c>
    </row>
    <row r="279" spans="1:13" ht="28.8" x14ac:dyDescent="0.3">
      <c r="A279" s="4">
        <v>46185.611455578706</v>
      </c>
      <c r="B279" s="4">
        <v>34</v>
      </c>
      <c r="C279" s="4" t="s">
        <v>14</v>
      </c>
      <c r="D279" s="4">
        <v>6.5</v>
      </c>
      <c r="E279" s="4" t="s">
        <v>27</v>
      </c>
      <c r="F279" s="4">
        <v>7.4</v>
      </c>
      <c r="G279" s="4" t="s">
        <v>24</v>
      </c>
      <c r="H279" s="4"/>
      <c r="I279" s="4">
        <v>3.3</v>
      </c>
      <c r="J279" s="4">
        <v>2</v>
      </c>
      <c r="K279" s="4" t="s">
        <v>18</v>
      </c>
      <c r="L279" s="4" t="s">
        <v>30</v>
      </c>
      <c r="M279" s="4" t="s">
        <v>20</v>
      </c>
    </row>
    <row r="280" spans="1:13" x14ac:dyDescent="0.3">
      <c r="A280" s="4">
        <v>46185.61147462963</v>
      </c>
      <c r="B280" s="4">
        <v>34</v>
      </c>
      <c r="C280" s="4" t="s">
        <v>14</v>
      </c>
      <c r="D280" s="4">
        <v>8.1999999999999993</v>
      </c>
      <c r="E280" s="4" t="s">
        <v>34</v>
      </c>
      <c r="F280" s="4">
        <v>10</v>
      </c>
      <c r="G280" s="4" t="s">
        <v>47</v>
      </c>
      <c r="H280" s="4"/>
      <c r="I280" s="4">
        <v>4.7</v>
      </c>
      <c r="J280" s="4">
        <v>3</v>
      </c>
      <c r="K280" s="4" t="s">
        <v>18</v>
      </c>
      <c r="L280" s="4" t="s">
        <v>19</v>
      </c>
      <c r="M280" s="4" t="s">
        <v>36</v>
      </c>
    </row>
    <row r="281" spans="1:13" x14ac:dyDescent="0.3">
      <c r="A281" s="4">
        <v>46185.611497442129</v>
      </c>
      <c r="B281" s="4">
        <v>31</v>
      </c>
      <c r="C281" s="4" t="s">
        <v>22</v>
      </c>
      <c r="D281" s="4">
        <v>8</v>
      </c>
      <c r="E281" s="4" t="s">
        <v>15</v>
      </c>
      <c r="F281" s="4">
        <v>9.1</v>
      </c>
      <c r="G281" s="4" t="s">
        <v>43</v>
      </c>
      <c r="H281" s="4"/>
      <c r="I281" s="4">
        <v>7.8</v>
      </c>
      <c r="J281" s="4">
        <v>6</v>
      </c>
      <c r="K281" s="4" t="s">
        <v>29</v>
      </c>
      <c r="L281" s="4" t="s">
        <v>19</v>
      </c>
      <c r="M281" s="4" t="s">
        <v>36</v>
      </c>
    </row>
    <row r="282" spans="1:13" x14ac:dyDescent="0.3">
      <c r="A282" s="4">
        <v>46185.611527534726</v>
      </c>
      <c r="B282" s="4">
        <v>17</v>
      </c>
      <c r="C282" s="4" t="s">
        <v>14</v>
      </c>
      <c r="D282" s="4">
        <v>2</v>
      </c>
      <c r="E282" s="4" t="s">
        <v>42</v>
      </c>
      <c r="F282" s="4">
        <v>10.7</v>
      </c>
      <c r="G282" s="4" t="s">
        <v>16</v>
      </c>
      <c r="H282" s="4" t="s">
        <v>52</v>
      </c>
      <c r="I282" s="4">
        <v>7.1</v>
      </c>
      <c r="J282" s="4">
        <v>1</v>
      </c>
      <c r="K282" s="4" t="s">
        <v>18</v>
      </c>
      <c r="L282" s="4" t="s">
        <v>30</v>
      </c>
      <c r="M282" s="4" t="s">
        <v>36</v>
      </c>
    </row>
    <row r="283" spans="1:13" x14ac:dyDescent="0.3">
      <c r="A283" s="4">
        <v>46185.611550428242</v>
      </c>
      <c r="B283" s="4">
        <v>31</v>
      </c>
      <c r="C283" s="4" t="s">
        <v>40</v>
      </c>
      <c r="D283" s="4">
        <v>6.3</v>
      </c>
      <c r="E283" s="4" t="s">
        <v>34</v>
      </c>
      <c r="F283" s="4">
        <v>5.3</v>
      </c>
      <c r="G283" s="4" t="s">
        <v>43</v>
      </c>
      <c r="H283" s="4"/>
      <c r="I283" s="4">
        <v>5.7</v>
      </c>
      <c r="J283" s="4">
        <v>10</v>
      </c>
      <c r="K283" s="4" t="s">
        <v>18</v>
      </c>
      <c r="L283" s="4" t="s">
        <v>30</v>
      </c>
      <c r="M283" s="4" t="s">
        <v>20</v>
      </c>
    </row>
    <row r="284" spans="1:13" x14ac:dyDescent="0.3">
      <c r="A284" s="4">
        <v>46185.611570104171</v>
      </c>
      <c r="B284" s="4">
        <v>23</v>
      </c>
      <c r="C284" s="4" t="s">
        <v>22</v>
      </c>
      <c r="D284" s="4">
        <v>9.1999999999999993</v>
      </c>
      <c r="E284" s="4" t="s">
        <v>34</v>
      </c>
      <c r="F284" s="4">
        <v>9</v>
      </c>
      <c r="G284" s="4" t="s">
        <v>43</v>
      </c>
      <c r="H284" s="4"/>
      <c r="I284" s="4">
        <v>2.4</v>
      </c>
      <c r="J284" s="4">
        <v>4</v>
      </c>
      <c r="K284" s="4" t="s">
        <v>33</v>
      </c>
      <c r="L284" s="4" t="s">
        <v>45</v>
      </c>
      <c r="M284" s="4" t="s">
        <v>20</v>
      </c>
    </row>
    <row r="285" spans="1:13" ht="28.8" x14ac:dyDescent="0.3">
      <c r="A285" s="4">
        <v>46185.611595879629</v>
      </c>
      <c r="B285" s="4">
        <v>18</v>
      </c>
      <c r="C285" s="4" t="s">
        <v>14</v>
      </c>
      <c r="D285" s="4">
        <v>3.2</v>
      </c>
      <c r="E285" s="4" t="s">
        <v>23</v>
      </c>
      <c r="F285" s="4">
        <v>13.3</v>
      </c>
      <c r="G285" s="4" t="s">
        <v>24</v>
      </c>
      <c r="H285" s="4"/>
      <c r="I285" s="4">
        <v>4.3</v>
      </c>
      <c r="J285" s="4">
        <v>4</v>
      </c>
      <c r="K285" s="4" t="s">
        <v>39</v>
      </c>
      <c r="L285" s="4" t="s">
        <v>30</v>
      </c>
      <c r="M285" s="4" t="s">
        <v>36</v>
      </c>
    </row>
    <row r="286" spans="1:13" x14ac:dyDescent="0.3">
      <c r="A286" s="4">
        <v>46185.611615069443</v>
      </c>
      <c r="B286" s="4">
        <v>29</v>
      </c>
      <c r="C286" s="4" t="s">
        <v>14</v>
      </c>
      <c r="D286" s="4">
        <v>7.4</v>
      </c>
      <c r="E286" s="4" t="s">
        <v>37</v>
      </c>
      <c r="F286" s="4">
        <v>9.3000000000000007</v>
      </c>
      <c r="G286" s="4" t="s">
        <v>43</v>
      </c>
      <c r="H286" s="4"/>
      <c r="I286" s="4">
        <v>4.5</v>
      </c>
      <c r="J286" s="4">
        <v>4</v>
      </c>
      <c r="K286" s="4" t="s">
        <v>29</v>
      </c>
      <c r="L286" s="4" t="s">
        <v>45</v>
      </c>
      <c r="M286" s="4" t="s">
        <v>36</v>
      </c>
    </row>
    <row r="287" spans="1:13" x14ac:dyDescent="0.3">
      <c r="A287" s="4">
        <v>46185.611639814815</v>
      </c>
      <c r="B287" s="4">
        <v>29</v>
      </c>
      <c r="C287" s="4" t="s">
        <v>14</v>
      </c>
      <c r="D287" s="4">
        <v>2.7</v>
      </c>
      <c r="E287" s="4" t="s">
        <v>15</v>
      </c>
      <c r="F287" s="4">
        <v>7</v>
      </c>
      <c r="G287" s="4" t="s">
        <v>46</v>
      </c>
      <c r="H287" s="4"/>
      <c r="I287" s="4">
        <v>1</v>
      </c>
      <c r="J287" s="4">
        <v>4</v>
      </c>
      <c r="K287" s="4" t="s">
        <v>33</v>
      </c>
      <c r="L287" s="4" t="s">
        <v>30</v>
      </c>
      <c r="M287" s="4" t="s">
        <v>36</v>
      </c>
    </row>
    <row r="288" spans="1:13" x14ac:dyDescent="0.3">
      <c r="A288" s="4">
        <v>46185.611661168979</v>
      </c>
      <c r="B288" s="4">
        <v>29</v>
      </c>
      <c r="C288" s="4" t="s">
        <v>22</v>
      </c>
      <c r="D288" s="4">
        <v>3.5</v>
      </c>
      <c r="E288" s="4" t="s">
        <v>42</v>
      </c>
      <c r="F288" s="4">
        <v>4.9000000000000004</v>
      </c>
      <c r="G288" s="4" t="s">
        <v>16</v>
      </c>
      <c r="H288" s="4" t="s">
        <v>48</v>
      </c>
      <c r="I288" s="4">
        <v>7.2</v>
      </c>
      <c r="J288" s="4">
        <v>2</v>
      </c>
      <c r="K288" s="4" t="s">
        <v>18</v>
      </c>
      <c r="L288" s="4" t="s">
        <v>19</v>
      </c>
      <c r="M288" s="4" t="s">
        <v>36</v>
      </c>
    </row>
    <row r="289" spans="1:13" x14ac:dyDescent="0.3">
      <c r="A289" s="4">
        <v>46185.611678865738</v>
      </c>
      <c r="B289" s="4">
        <v>22</v>
      </c>
      <c r="C289" s="4" t="s">
        <v>14</v>
      </c>
      <c r="D289" s="4">
        <v>5.7</v>
      </c>
      <c r="E289" s="4" t="s">
        <v>27</v>
      </c>
      <c r="F289" s="4">
        <v>4.4000000000000004</v>
      </c>
      <c r="G289" s="4" t="s">
        <v>38</v>
      </c>
      <c r="H289" s="4"/>
      <c r="I289" s="4">
        <v>6.5</v>
      </c>
      <c r="J289" s="4">
        <v>5</v>
      </c>
      <c r="K289" s="4" t="s">
        <v>18</v>
      </c>
      <c r="L289" s="4" t="s">
        <v>30</v>
      </c>
      <c r="M289" s="4" t="s">
        <v>45</v>
      </c>
    </row>
    <row r="290" spans="1:13" x14ac:dyDescent="0.3">
      <c r="A290" s="4">
        <v>46185.611704803239</v>
      </c>
      <c r="B290" s="4">
        <v>18</v>
      </c>
      <c r="C290" s="4" t="s">
        <v>22</v>
      </c>
      <c r="D290" s="4">
        <v>8.9</v>
      </c>
      <c r="E290" s="4" t="s">
        <v>27</v>
      </c>
      <c r="F290" s="4">
        <v>5</v>
      </c>
      <c r="G290" s="4" t="s">
        <v>43</v>
      </c>
      <c r="H290" s="4"/>
      <c r="I290" s="4">
        <v>4.9000000000000004</v>
      </c>
      <c r="J290" s="4">
        <v>3</v>
      </c>
      <c r="K290" s="4" t="s">
        <v>18</v>
      </c>
      <c r="L290" s="4" t="s">
        <v>19</v>
      </c>
      <c r="M290" s="4" t="s">
        <v>45</v>
      </c>
    </row>
    <row r="291" spans="1:13" x14ac:dyDescent="0.3">
      <c r="A291" s="4">
        <v>46185.61172951389</v>
      </c>
      <c r="B291" s="4">
        <v>18</v>
      </c>
      <c r="C291" s="4" t="s">
        <v>40</v>
      </c>
      <c r="D291" s="4">
        <v>6.8</v>
      </c>
      <c r="E291" s="4" t="s">
        <v>44</v>
      </c>
      <c r="F291" s="4">
        <v>4.0999999999999996</v>
      </c>
      <c r="G291" s="4" t="s">
        <v>47</v>
      </c>
      <c r="H291" s="4"/>
      <c r="I291" s="4">
        <v>2.2999999999999998</v>
      </c>
      <c r="J291" s="4">
        <v>9</v>
      </c>
      <c r="K291" s="4" t="s">
        <v>29</v>
      </c>
      <c r="L291" s="4" t="s">
        <v>30</v>
      </c>
      <c r="M291" s="4" t="s">
        <v>20</v>
      </c>
    </row>
    <row r="292" spans="1:13" x14ac:dyDescent="0.3">
      <c r="A292" s="4">
        <v>46185.611750127311</v>
      </c>
      <c r="B292" s="4">
        <v>30</v>
      </c>
      <c r="C292" s="4" t="s">
        <v>22</v>
      </c>
      <c r="D292" s="4">
        <v>4.2</v>
      </c>
      <c r="E292" s="4" t="s">
        <v>34</v>
      </c>
      <c r="F292" s="4">
        <v>7.9</v>
      </c>
      <c r="G292" s="4" t="s">
        <v>46</v>
      </c>
      <c r="H292" s="4"/>
      <c r="I292" s="4">
        <v>3.4</v>
      </c>
      <c r="J292" s="4">
        <v>1</v>
      </c>
      <c r="K292" s="4" t="s">
        <v>39</v>
      </c>
      <c r="L292" s="4" t="s">
        <v>45</v>
      </c>
      <c r="M292" s="4" t="s">
        <v>30</v>
      </c>
    </row>
    <row r="293" spans="1:13" x14ac:dyDescent="0.3">
      <c r="A293" s="4">
        <v>46185.611770312498</v>
      </c>
      <c r="B293" s="4">
        <v>18</v>
      </c>
      <c r="C293" s="4" t="s">
        <v>22</v>
      </c>
      <c r="D293" s="4">
        <v>4.0999999999999996</v>
      </c>
      <c r="E293" s="4" t="s">
        <v>34</v>
      </c>
      <c r="F293" s="4">
        <v>7.2</v>
      </c>
      <c r="G293" s="4" t="s">
        <v>32</v>
      </c>
      <c r="H293" s="4"/>
      <c r="I293" s="4">
        <v>6.4</v>
      </c>
      <c r="J293" s="4">
        <v>10</v>
      </c>
      <c r="K293" s="4" t="s">
        <v>33</v>
      </c>
      <c r="L293" s="4" t="s">
        <v>45</v>
      </c>
      <c r="M293" s="4" t="s">
        <v>45</v>
      </c>
    </row>
    <row r="294" spans="1:13" x14ac:dyDescent="0.3">
      <c r="A294" s="4">
        <v>46185.611794062497</v>
      </c>
      <c r="B294" s="4">
        <v>24</v>
      </c>
      <c r="C294" s="4" t="s">
        <v>22</v>
      </c>
      <c r="D294" s="4">
        <v>3.2</v>
      </c>
      <c r="E294" s="4" t="s">
        <v>42</v>
      </c>
      <c r="F294" s="4">
        <v>10.199999999999999</v>
      </c>
      <c r="G294" s="4" t="s">
        <v>38</v>
      </c>
      <c r="H294" s="4"/>
      <c r="I294" s="4">
        <v>4.8</v>
      </c>
      <c r="J294" s="4">
        <v>8</v>
      </c>
      <c r="K294" s="4" t="s">
        <v>18</v>
      </c>
      <c r="L294" s="4" t="s">
        <v>45</v>
      </c>
      <c r="M294" s="4" t="s">
        <v>36</v>
      </c>
    </row>
    <row r="295" spans="1:13" x14ac:dyDescent="0.3">
      <c r="A295" s="4">
        <v>46185.61181037037</v>
      </c>
      <c r="B295" s="4">
        <v>27</v>
      </c>
      <c r="C295" s="4" t="s">
        <v>14</v>
      </c>
      <c r="D295" s="4">
        <v>9.9</v>
      </c>
      <c r="E295" s="4" t="s">
        <v>34</v>
      </c>
      <c r="F295" s="4">
        <v>12.2</v>
      </c>
      <c r="G295" s="4" t="s">
        <v>41</v>
      </c>
      <c r="H295" s="4"/>
      <c r="I295" s="4">
        <v>4.8</v>
      </c>
      <c r="J295" s="4">
        <v>3</v>
      </c>
      <c r="K295" s="4" t="s">
        <v>29</v>
      </c>
      <c r="L295" s="4" t="s">
        <v>30</v>
      </c>
      <c r="M295" s="4" t="s">
        <v>36</v>
      </c>
    </row>
    <row r="296" spans="1:13" x14ac:dyDescent="0.3">
      <c r="A296" s="4">
        <v>46185.61183248843</v>
      </c>
      <c r="B296" s="4">
        <v>31</v>
      </c>
      <c r="C296" s="4" t="s">
        <v>22</v>
      </c>
      <c r="D296" s="4">
        <v>6.6</v>
      </c>
      <c r="E296" s="4" t="s">
        <v>44</v>
      </c>
      <c r="F296" s="4">
        <v>10</v>
      </c>
      <c r="G296" s="4" t="s">
        <v>38</v>
      </c>
      <c r="H296" s="4"/>
      <c r="I296" s="4">
        <v>7.1</v>
      </c>
      <c r="J296" s="4">
        <v>1</v>
      </c>
      <c r="K296" s="4" t="s">
        <v>39</v>
      </c>
      <c r="L296" s="4" t="s">
        <v>19</v>
      </c>
      <c r="M296" s="4" t="s">
        <v>30</v>
      </c>
    </row>
    <row r="297" spans="1:13" x14ac:dyDescent="0.3">
      <c r="A297" s="4">
        <v>46185.611865636572</v>
      </c>
      <c r="B297" s="4">
        <v>29</v>
      </c>
      <c r="C297" s="4" t="s">
        <v>40</v>
      </c>
      <c r="D297" s="4">
        <v>3.9</v>
      </c>
      <c r="E297" s="4" t="s">
        <v>37</v>
      </c>
      <c r="F297" s="4">
        <v>6.3</v>
      </c>
      <c r="G297" s="4" t="s">
        <v>28</v>
      </c>
      <c r="H297" s="4"/>
      <c r="I297" s="4">
        <v>4.9000000000000004</v>
      </c>
      <c r="J297" s="4">
        <v>4</v>
      </c>
      <c r="K297" s="4" t="s">
        <v>39</v>
      </c>
      <c r="L297" s="4" t="s">
        <v>25</v>
      </c>
      <c r="M297" s="4" t="s">
        <v>36</v>
      </c>
    </row>
    <row r="298" spans="1:13" x14ac:dyDescent="0.3">
      <c r="A298" s="4">
        <v>46185.611885798615</v>
      </c>
      <c r="B298" s="4">
        <v>32</v>
      </c>
      <c r="C298" s="4" t="s">
        <v>22</v>
      </c>
      <c r="D298" s="4">
        <v>9.6</v>
      </c>
      <c r="E298" s="4" t="s">
        <v>34</v>
      </c>
      <c r="F298" s="4">
        <v>8.9</v>
      </c>
      <c r="G298" s="4" t="s">
        <v>16</v>
      </c>
      <c r="H298" s="4" t="s">
        <v>76</v>
      </c>
      <c r="I298" s="4">
        <v>1</v>
      </c>
      <c r="J298" s="4">
        <v>1</v>
      </c>
      <c r="K298" s="4" t="s">
        <v>18</v>
      </c>
      <c r="L298" s="4" t="s">
        <v>45</v>
      </c>
      <c r="M298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topLeftCell="C35" workbookViewId="0">
      <selection sqref="A1:H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80" customWidth="1"/>
    <col min="4" max="4" width="28" customWidth="1"/>
    <col min="5" max="5" width="36" customWidth="1"/>
    <col min="6" max="6" width="20" customWidth="1"/>
    <col min="7" max="7" width="70" customWidth="1"/>
  </cols>
  <sheetData>
    <row r="1" spans="1:26" ht="46.05" customHeight="1" x14ac:dyDescent="0.3">
      <c r="A1" s="38" t="s">
        <v>79</v>
      </c>
      <c r="B1" s="38"/>
      <c r="C1" s="38"/>
      <c r="D1" s="38"/>
      <c r="E1" s="38"/>
      <c r="F1" s="38"/>
      <c r="G1" s="38"/>
      <c r="H1" s="39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3" spans="1:26" ht="12" customHeight="1" x14ac:dyDescent="0.3">
      <c r="A3" s="9" t="s">
        <v>80</v>
      </c>
      <c r="B3" t="s">
        <v>81</v>
      </c>
      <c r="E3" s="13" t="s">
        <v>82</v>
      </c>
      <c r="F3" s="13">
        <f>COUNTIFS(Datos_limpios_200!$I$2:$I$201,"&gt;=3",Datos_limpios_200!$I$2:$I$201,"&lt;=8")</f>
        <v>125</v>
      </c>
      <c r="G3" s="13" t="str">
        <f>"Equivale a "&amp;F3&amp;" personas de la muestra."</f>
        <v>Equivale a 125 personas de la muestra.</v>
      </c>
    </row>
    <row r="4" spans="1:26" ht="12" customHeight="1" x14ac:dyDescent="0.3">
      <c r="A4" s="9" t="s">
        <v>83</v>
      </c>
      <c r="B4" t="s">
        <v>84</v>
      </c>
      <c r="E4" t="s">
        <v>85</v>
      </c>
      <c r="F4" s="10">
        <f>COUNTIF(Datos_limpios_200!$I$2:$I$201,"&gt;6")/COUNT(Datos_limpios_200!$I$2:$I$201)</f>
        <v>0.16500000000000001</v>
      </c>
      <c r="G4" t="str">
        <f>"Equivale al "&amp;TEXT(F4,"0.00%")&amp;" de la muestra."</f>
        <v>Equivale al 017% de la muestra.</v>
      </c>
    </row>
    <row r="5" spans="1:26" ht="12" customHeight="1" x14ac:dyDescent="0.3">
      <c r="A5" s="9" t="s">
        <v>86</v>
      </c>
      <c r="B5" t="s">
        <v>87</v>
      </c>
      <c r="E5" t="s">
        <v>88</v>
      </c>
      <c r="F5" s="10">
        <f>COUNTIF(Datos_limpios_200!$I$2:$I$201,"&lt;2")</f>
        <v>34</v>
      </c>
      <c r="G5" t="str">
        <f>"Equivale a "&amp;F5&amp;" personas de la muestra."</f>
        <v>Equivale a 34 personas de la muestra.</v>
      </c>
    </row>
    <row r="6" spans="1:26" ht="12" customHeight="1" x14ac:dyDescent="0.3">
      <c r="A6" s="9" t="s">
        <v>89</v>
      </c>
      <c r="B6" t="s">
        <v>90</v>
      </c>
      <c r="E6" t="s">
        <v>91</v>
      </c>
      <c r="F6" s="10">
        <f>COUNTIFS(Datos_limpios_200!$I$2:$I$201,"&gt;=5",Datos_limpios_200!$I$2:$I$201,"&lt;=10")/COUNT(Datos_limpios_200!$I$2:$I$201)</f>
        <v>0.30499999999999999</v>
      </c>
      <c r="G6" t="str">
        <f>"Equivale al "&amp;TEXT(F6,"0.00%")&amp;" de la muestra."</f>
        <v>Equivale al 031% de la muestra.</v>
      </c>
    </row>
    <row r="7" spans="1:26" ht="12" customHeight="1" x14ac:dyDescent="0.3">
      <c r="A7" s="9" t="s">
        <v>92</v>
      </c>
      <c r="B7" t="s">
        <v>93</v>
      </c>
      <c r="E7" t="s">
        <v>94</v>
      </c>
      <c r="F7" s="10">
        <f>COUNTIF(Datos_limpios_200!$I$2:$I$201,"&gt;8")</f>
        <v>0</v>
      </c>
      <c r="G7" t="str">
        <f>"Equivale a "&amp;F7&amp;" personas de la muestra."</f>
        <v>Equivale a 0 personas de la muestra.</v>
      </c>
    </row>
    <row r="8" spans="1:26" ht="12" customHeight="1" x14ac:dyDescent="0.3">
      <c r="A8" s="9" t="s">
        <v>95</v>
      </c>
      <c r="B8" t="s">
        <v>96</v>
      </c>
      <c r="E8" t="s">
        <v>97</v>
      </c>
      <c r="F8" s="10">
        <f>COUNTIF(Datos_limpios_200!$I$2:$I$201,"&lt;4")/COUNT(Datos_limpios_200!$I$2:$I$201)</f>
        <v>0.54500000000000004</v>
      </c>
      <c r="G8" t="str">
        <f>"Equivale al "&amp;TEXT(F8,"0.00%")&amp;" de la muestra."</f>
        <v>Equivale al 055% de la muestra.</v>
      </c>
    </row>
    <row r="9" spans="1:26" ht="12" customHeight="1" x14ac:dyDescent="0.3">
      <c r="A9" s="9" t="s">
        <v>98</v>
      </c>
      <c r="B9" t="s">
        <v>99</v>
      </c>
      <c r="E9" t="s">
        <v>100</v>
      </c>
      <c r="F9" s="10">
        <f>COUNTIFS(Datos_limpios_200!$I$2:$I$201,"&gt;=1",Datos_limpios_200!$I$2:$I$201,"&lt;=6")</f>
        <v>167</v>
      </c>
      <c r="G9" t="str">
        <f>"Equivale a "&amp;F9&amp;" personas de la muestra."</f>
        <v>Equivale a 167 personas de la muestra.</v>
      </c>
    </row>
    <row r="10" spans="1:26" ht="12" customHeight="1" x14ac:dyDescent="0.3">
      <c r="E10" t="s">
        <v>101</v>
      </c>
      <c r="F10" s="10">
        <f>COUNTIF(Datos_limpios_200!$I$2:$I$201,"&gt;9")/COUNT(Datos_limpios_200!$I$2:$I$201)</f>
        <v>0</v>
      </c>
      <c r="G10" t="str">
        <f>"Equivale al "&amp;TEXT(F10,"0.00%")&amp;" de la muestra."</f>
        <v>Equivale al 000% de la muestra.</v>
      </c>
    </row>
    <row r="11" spans="1:26" ht="12" customHeight="1" x14ac:dyDescent="0.3">
      <c r="A11" s="13" t="s">
        <v>102</v>
      </c>
      <c r="B11" s="13" t="s">
        <v>103</v>
      </c>
      <c r="C11" s="13" t="s">
        <v>104</v>
      </c>
      <c r="E11" t="s">
        <v>105</v>
      </c>
      <c r="F11" s="10">
        <v>0</v>
      </c>
      <c r="G11" t="s">
        <v>106</v>
      </c>
    </row>
    <row r="12" spans="1:26" ht="12" customHeight="1" x14ac:dyDescent="0.3">
      <c r="A12" t="s">
        <v>107</v>
      </c>
      <c r="B12" s="11">
        <f>AVERAGE(Datos_limpios_200!$D$2:$D$201)</f>
        <v>5.6330000000000018</v>
      </c>
      <c r="C12" s="4" t="str">
        <f>"En promedio, los encuestados utilizan "&amp;ROUND(B12,2)&amp;" horas de pantalla por día."</f>
        <v>En promedio, los encuestados utilizan 5,63 horas de pantalla por día.</v>
      </c>
    </row>
    <row r="13" spans="1:26" ht="105.6" customHeight="1" x14ac:dyDescent="0.3">
      <c r="A13" t="s">
        <v>108</v>
      </c>
      <c r="B13" s="11">
        <v>5</v>
      </c>
      <c r="C13" s="4" t="str">
        <f>"El valor que más se repite es "&amp;ROUND(B13,2)&amp;" horas."</f>
        <v>El valor que más se repite es 5 horas.</v>
      </c>
    </row>
    <row r="14" spans="1:26" ht="12" customHeight="1" x14ac:dyDescent="0.3">
      <c r="A14" t="s">
        <v>64</v>
      </c>
      <c r="B14" s="11">
        <f>MEDIAN(Datos_limpios_200!$D$2:$D$201)</f>
        <v>5.65</v>
      </c>
      <c r="C14" s="4" t="str">
        <f>"El 50% de la muestra utiliza hasta "&amp;ROUND(B14,2)&amp;" horas de pantalla por día."</f>
        <v>El 50% de la muestra utiliza hasta 5,65 horas de pantalla por día.</v>
      </c>
      <c r="E14" s="27" t="s">
        <v>109</v>
      </c>
      <c r="F14" s="27" t="s">
        <v>103</v>
      </c>
      <c r="G14" s="27" t="s">
        <v>110</v>
      </c>
    </row>
    <row r="15" spans="1:26" ht="12" customHeight="1" x14ac:dyDescent="0.3">
      <c r="A15" t="s">
        <v>111</v>
      </c>
      <c r="B15" s="11">
        <f>SKEW(Datos_limpios_200!$D$2:$D$201)</f>
        <v>8.3800534010096142E-2</v>
      </c>
      <c r="C15" s="4" t="str">
        <f>"Indica si la distribución se inclina hacia valores bajos o altos. Resultado: "&amp;ROUND(B15,3)</f>
        <v>Indica si la distribución se inclina hacia valores bajos o altos. Resultado: 0,084</v>
      </c>
      <c r="E15" s="4" t="s">
        <v>112</v>
      </c>
      <c r="F15" s="4" t="s">
        <v>15</v>
      </c>
      <c r="G15" s="4" t="s">
        <v>113</v>
      </c>
    </row>
    <row r="16" spans="1:26" ht="12" customHeight="1" x14ac:dyDescent="0.3">
      <c r="A16" t="s">
        <v>114</v>
      </c>
      <c r="B16" s="11">
        <f>KURT(Datos_limpios_200!$D$2:$D$201)</f>
        <v>-0.94592288663028645</v>
      </c>
      <c r="C16" s="4" t="str">
        <f>"Mide el grado de concentración o aplanamiento de los datos. Resultado: "&amp;ROUND(B16,3)</f>
        <v>Mide el grado de concentración o aplanamiento de los datos. Resultado: -0,946</v>
      </c>
      <c r="E16" s="4" t="s">
        <v>115</v>
      </c>
      <c r="F16" s="4" t="s">
        <v>28</v>
      </c>
      <c r="G16" s="4" t="s">
        <v>116</v>
      </c>
    </row>
    <row r="17" spans="1:7" ht="12" customHeight="1" x14ac:dyDescent="0.3">
      <c r="A17" t="s">
        <v>117</v>
      </c>
      <c r="B17" s="11">
        <f>VAR(Datos_limpios_200!$D$2:$D$201)</f>
        <v>4.4561919597989617</v>
      </c>
      <c r="C17" s="4" t="str">
        <f>"Mide la dispersión cuadrática de las horas respecto de la media. Resultado: "&amp;ROUND(B17,3)</f>
        <v>Mide la dispersión cuadrática de las horas respecto de la media. Resultado: 4,456</v>
      </c>
      <c r="E17" s="4" t="s">
        <v>118</v>
      </c>
      <c r="F17" s="4" t="s">
        <v>119</v>
      </c>
      <c r="G17" s="4" t="s">
        <v>120</v>
      </c>
    </row>
    <row r="18" spans="1:7" ht="12" customHeight="1" x14ac:dyDescent="0.3">
      <c r="A18" t="s">
        <v>121</v>
      </c>
      <c r="B18" s="11">
        <f>STDEV(Datos_limpios_200!$D$2:$D$201)</f>
        <v>2.110969436017244</v>
      </c>
      <c r="C18" s="4" t="str">
        <f>"Los datos se alejan aproximadamente "&amp;ROUND(B18,2)&amp;" horas de la media."</f>
        <v>Los datos se alejan aproximadamente 2,11 horas de la media.</v>
      </c>
    </row>
    <row r="19" spans="1:7" ht="12" customHeight="1" x14ac:dyDescent="0.3">
      <c r="A19" t="s">
        <v>122</v>
      </c>
      <c r="B19" s="10">
        <f>B18/B12</f>
        <v>0.37475047683600982</v>
      </c>
      <c r="C19" s="4" t="str">
        <f>"La variabilidad relativa es de "&amp;ROUND(B19*100,2)&amp;"% respecto de la media."</f>
        <v>La variabilidad relativa es de 37,48% respecto de la media.</v>
      </c>
    </row>
    <row r="20" spans="1:7" ht="12" customHeight="1" x14ac:dyDescent="0.3">
      <c r="A20" t="s">
        <v>123</v>
      </c>
      <c r="B20" s="11">
        <f>QUARTILE(Datos_limpios_200!$D$2:$D$201,1)</f>
        <v>3.875</v>
      </c>
      <c r="C20" s="4" t="str">
        <f>"El 25% de los encuestados utiliza hasta "&amp;ROUND(B20,2)&amp;" horas de pantalla."</f>
        <v>El 25% de los encuestados utiliza hasta 3,88 horas de pantalla.</v>
      </c>
    </row>
    <row r="21" spans="1:7" ht="12" customHeight="1" x14ac:dyDescent="0.3">
      <c r="A21" t="s">
        <v>124</v>
      </c>
      <c r="B21" s="11">
        <f>QUARTILE(Datos_limpios_200!$D$2:$D$201,3)</f>
        <v>7.1</v>
      </c>
      <c r="C21" s="4" t="str">
        <f>"El 75% de los encuestados utiliza hasta "&amp;ROUND(B21,2)&amp;" horas de pantalla."</f>
        <v>El 75% de los encuestados utiliza hasta 7,1 horas de pantalla.</v>
      </c>
    </row>
    <row r="22" spans="1:7" ht="12" customHeight="1" x14ac:dyDescent="0.3">
      <c r="A22" t="s">
        <v>125</v>
      </c>
      <c r="B22" s="11">
        <f>PERCENTILE(Datos_limpios_200!$D$2:$D$201,0.3)</f>
        <v>4</v>
      </c>
      <c r="C22" s="4" t="str">
        <f>"El 30% de la muestra utiliza hasta "&amp;ROUND(B22,2)&amp;" horas de pantalla."</f>
        <v>El 30% de la muestra utiliza hasta 4 horas de pantalla.</v>
      </c>
    </row>
    <row r="23" spans="1:7" ht="12" customHeight="1" x14ac:dyDescent="0.3">
      <c r="A23" t="s">
        <v>126</v>
      </c>
      <c r="B23" s="11">
        <f>PERCENTILE(Datos_limpios_200!$D$2:$D$201,0.4)</f>
        <v>5</v>
      </c>
      <c r="C23" s="4" t="str">
        <f>"El 40% de la muestra utiliza hasta "&amp;ROUND(B23,2)&amp;" horas de pantalla."</f>
        <v>El 40% de la muestra utiliza hasta 5 horas de pantalla.</v>
      </c>
    </row>
    <row r="24" spans="1:7" ht="12" customHeight="1" x14ac:dyDescent="0.3">
      <c r="A24" t="s">
        <v>127</v>
      </c>
      <c r="B24" s="11">
        <f>PERCENTILE(Datos_limpios_200!$D$2:$D$201,0.9)</f>
        <v>8.41</v>
      </c>
      <c r="C24" s="4" t="str">
        <f>"El 90% de la muestra utiliza hasta "&amp;ROUND(B24,2)&amp;" horas de pantalla."</f>
        <v>El 90% de la muestra utiliza hasta 8,41 horas de pantalla.</v>
      </c>
    </row>
    <row r="25" spans="1:7" ht="12" customHeight="1" x14ac:dyDescent="0.3">
      <c r="A25" t="s">
        <v>128</v>
      </c>
      <c r="B25" s="11">
        <f>PERCENTILE(Datos_limpios_200!$D$2:$D$201,0.23)</f>
        <v>3.7770000000000001</v>
      </c>
      <c r="C25" s="4" t="str">
        <f>"El 23% de la muestra utiliza hasta "&amp;ROUND(B25,2)&amp;" horas de pantalla."</f>
        <v>El 23% de la muestra utiliza hasta 3,78 horas de pantalla.</v>
      </c>
    </row>
    <row r="26" spans="1:7" ht="12" customHeight="1" x14ac:dyDescent="0.3">
      <c r="A26" t="s">
        <v>129</v>
      </c>
      <c r="B26" s="11">
        <f>PERCENTILE(Datos_limpios_200!$D$2:$D$201,0.75)</f>
        <v>7.1</v>
      </c>
      <c r="C26" s="4" t="str">
        <f>"El 75% de la muestra utiliza hasta "&amp;ROUND(B26,2)&amp;" horas de pantalla."</f>
        <v>El 75% de la muestra utiliza hasta 7,1 horas de pantalla.</v>
      </c>
    </row>
    <row r="27" spans="1:7" ht="12" customHeight="1" x14ac:dyDescent="0.3">
      <c r="A27" t="s">
        <v>130</v>
      </c>
      <c r="B27" s="11">
        <f>PERCENTILE(Datos_limpios_200!$D$2:$D$201,0.97)</f>
        <v>9.5</v>
      </c>
      <c r="C27" s="4" t="str">
        <f>"El 97% de la muestra utiliza hasta "&amp;ROUND(B27,2)&amp;" horas de pantalla."</f>
        <v>El 97% de la muestra utiliza hasta 9,5 horas de pantalla.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>
      <selection sqref="A1:J1"/>
    </sheetView>
  </sheetViews>
  <sheetFormatPr baseColWidth="10" defaultColWidth="8.88671875" defaultRowHeight="14.4" x14ac:dyDescent="0.3"/>
  <cols>
    <col min="1" max="1" width="10" customWidth="1"/>
    <col min="2" max="3" width="18" customWidth="1"/>
    <col min="4" max="4" width="26" customWidth="1"/>
    <col min="5" max="10" width="10" customWidth="1"/>
    <col min="11" max="11" width="3" customWidth="1"/>
    <col min="12" max="12" width="12" customWidth="1"/>
    <col min="13" max="13" width="80" customWidth="1"/>
  </cols>
  <sheetData>
    <row r="1" spans="1:26" ht="134.4" customHeight="1" x14ac:dyDescent="0.3">
      <c r="A1" s="40" t="s">
        <v>131</v>
      </c>
      <c r="B1" s="40"/>
      <c r="C1" s="40"/>
      <c r="D1" s="40"/>
      <c r="E1" s="40"/>
      <c r="F1" s="40"/>
      <c r="G1" s="40"/>
      <c r="H1" s="40"/>
      <c r="I1" s="40"/>
      <c r="J1" s="40"/>
      <c r="K1" s="26"/>
      <c r="L1" s="26"/>
      <c r="M1" s="2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3" spans="1:26" ht="12" customHeight="1" x14ac:dyDescent="0.3">
      <c r="A3" s="13" t="s">
        <v>132</v>
      </c>
      <c r="B3" s="13" t="s">
        <v>133</v>
      </c>
      <c r="C3" s="13" t="s">
        <v>134</v>
      </c>
      <c r="D3" s="13" t="s">
        <v>135</v>
      </c>
      <c r="E3" s="13" t="s">
        <v>136</v>
      </c>
      <c r="F3" s="13" t="s">
        <v>137</v>
      </c>
      <c r="G3" s="13" t="s">
        <v>138</v>
      </c>
      <c r="H3" s="13" t="s">
        <v>139</v>
      </c>
      <c r="I3" s="13" t="s">
        <v>140</v>
      </c>
      <c r="J3" s="13" t="s">
        <v>141</v>
      </c>
      <c r="L3" s="13" t="s">
        <v>142</v>
      </c>
      <c r="M3" s="13" t="s">
        <v>110</v>
      </c>
    </row>
    <row r="4" spans="1:26" ht="21.15" customHeight="1" x14ac:dyDescent="0.3">
      <c r="A4" s="14">
        <v>1</v>
      </c>
      <c r="B4" s="14">
        <v>0</v>
      </c>
      <c r="C4" s="14">
        <v>1</v>
      </c>
      <c r="D4" s="21" t="str">
        <f t="shared" ref="D4:D15" si="0">IF(A4=12,B4&amp;" a "&amp;C4,B4&amp;" a menos de "&amp;C4)</f>
        <v>0 a menos de 1</v>
      </c>
      <c r="E4" s="14">
        <f>IF(A4=12,COUNTIFS(Datos_limpios_200!$D$2:$D$201,"&gt;="&amp;B4,Datos_limpios_200!$D$2:$D$201,"&lt;="&amp;C4),COUNTIFS(Datos_limpios_200!$D$2:$D$201,"&gt;="&amp;B4,Datos_limpios_200!$D$2:$D$201,"&lt;"&amp;C4))</f>
        <v>0</v>
      </c>
      <c r="F4" s="14">
        <f>SUM($E$4:E4)</f>
        <v>0</v>
      </c>
      <c r="G4" s="16">
        <f t="shared" ref="G4:G15" si="1">E4/SUM($E$4:$E$15)</f>
        <v>0</v>
      </c>
      <c r="H4" s="16">
        <f t="shared" ref="H4:H15" si="2">F4/SUM($E$4:$E$15)</f>
        <v>0</v>
      </c>
      <c r="I4" s="17">
        <f t="shared" ref="I4:I15" si="3">G4*100</f>
        <v>0</v>
      </c>
      <c r="J4" s="17">
        <f t="shared" ref="J4:J15" si="4">H4*100</f>
        <v>0</v>
      </c>
      <c r="L4" t="s">
        <v>143</v>
      </c>
      <c r="M4" s="4" t="str">
        <f>L4&amp;" = "&amp;E5&amp;": "&amp;E5&amp;" personas se ubican en el intervalo "&amp;D5&amp;" horas."</f>
        <v>f₂ = 1: 1 personas se ubican en el intervalo 1 a menos de 2 horas.</v>
      </c>
    </row>
    <row r="5" spans="1:26" ht="21.15" customHeight="1" x14ac:dyDescent="0.3">
      <c r="A5" s="14">
        <v>2</v>
      </c>
      <c r="B5" s="14">
        <v>1</v>
      </c>
      <c r="C5" s="14">
        <v>2</v>
      </c>
      <c r="D5" s="21" t="str">
        <f t="shared" si="0"/>
        <v>1 a menos de 2</v>
      </c>
      <c r="E5" s="14">
        <f>IF(A5=12,COUNTIFS(Datos_limpios_200!$D$2:$D$201,"&gt;="&amp;B5,Datos_limpios_200!$D$2:$D$201,"&lt;="&amp;C5),COUNTIFS(Datos_limpios_200!$D$2:$D$201,"&gt;="&amp;B5,Datos_limpios_200!$D$2:$D$201,"&lt;"&amp;C5))</f>
        <v>1</v>
      </c>
      <c r="F5" s="14">
        <f>SUM($E$4:E5)</f>
        <v>1</v>
      </c>
      <c r="G5" s="16">
        <f t="shared" si="1"/>
        <v>5.0000000000000001E-3</v>
      </c>
      <c r="H5" s="16">
        <f t="shared" si="2"/>
        <v>5.0000000000000001E-3</v>
      </c>
      <c r="I5" s="17">
        <f t="shared" si="3"/>
        <v>0.5</v>
      </c>
      <c r="J5" s="17">
        <f t="shared" si="4"/>
        <v>0.5</v>
      </c>
      <c r="L5" t="s">
        <v>144</v>
      </c>
      <c r="M5" s="4" t="str">
        <f>L5&amp;" = "&amp;E8&amp;": "&amp;E8&amp;" personas se ubican en el intervalo "&amp;D8&amp;" horas."</f>
        <v>f₅ = 22: 22 personas se ubican en el intervalo 4 a menos de 5 horas.</v>
      </c>
    </row>
    <row r="6" spans="1:26" ht="21.15" customHeight="1" x14ac:dyDescent="0.3">
      <c r="A6" s="14">
        <v>3</v>
      </c>
      <c r="B6" s="14">
        <v>2</v>
      </c>
      <c r="C6" s="14">
        <v>3</v>
      </c>
      <c r="D6" s="21" t="str">
        <f t="shared" si="0"/>
        <v>2 a menos de 3</v>
      </c>
      <c r="E6" s="14">
        <f>IF(A6=12,COUNTIFS(Datos_limpios_200!$D$2:$D$201,"&gt;="&amp;B6,Datos_limpios_200!$D$2:$D$201,"&lt;="&amp;C6),COUNTIFS(Datos_limpios_200!$D$2:$D$201,"&gt;="&amp;B6,Datos_limpios_200!$D$2:$D$201,"&lt;"&amp;C6))</f>
        <v>21</v>
      </c>
      <c r="F6" s="14">
        <f>SUM($E$4:E6)</f>
        <v>22</v>
      </c>
      <c r="G6" s="16">
        <f t="shared" si="1"/>
        <v>0.105</v>
      </c>
      <c r="H6" s="16">
        <f t="shared" si="2"/>
        <v>0.11</v>
      </c>
      <c r="I6" s="17">
        <f t="shared" si="3"/>
        <v>10.5</v>
      </c>
      <c r="J6" s="17">
        <f t="shared" si="4"/>
        <v>11</v>
      </c>
      <c r="L6" t="s">
        <v>145</v>
      </c>
      <c r="M6" s="4" t="str">
        <f>L6&amp;" = "&amp;E11&amp;": "&amp;E11&amp;" personas se ubican en el intervalo "&amp;D11&amp;" horas."</f>
        <v>f₈ = 23: 23 personas se ubican en el intervalo 7 a menos de 8 horas.</v>
      </c>
    </row>
    <row r="7" spans="1:26" ht="21.15" customHeight="1" x14ac:dyDescent="0.3">
      <c r="A7" s="14">
        <v>4</v>
      </c>
      <c r="B7" s="14">
        <v>3</v>
      </c>
      <c r="C7" s="14">
        <v>4</v>
      </c>
      <c r="D7" s="21" t="str">
        <f t="shared" si="0"/>
        <v>3 a menos de 4</v>
      </c>
      <c r="E7" s="14">
        <f>IF(A7=12,COUNTIFS(Datos_limpios_200!$D$2:$D$201,"&gt;="&amp;B7,Datos_limpios_200!$D$2:$D$201,"&lt;="&amp;C7),COUNTIFS(Datos_limpios_200!$D$2:$D$201,"&gt;="&amp;B7,Datos_limpios_200!$D$2:$D$201,"&lt;"&amp;C7))</f>
        <v>32</v>
      </c>
      <c r="F7" s="14">
        <f>SUM($E$4:E7)</f>
        <v>54</v>
      </c>
      <c r="G7" s="16">
        <f t="shared" si="1"/>
        <v>0.16</v>
      </c>
      <c r="H7" s="16">
        <f t="shared" si="2"/>
        <v>0.27</v>
      </c>
      <c r="I7" s="17">
        <f t="shared" si="3"/>
        <v>16</v>
      </c>
      <c r="J7" s="17">
        <f t="shared" si="4"/>
        <v>27</v>
      </c>
      <c r="L7" t="s">
        <v>146</v>
      </c>
      <c r="M7" s="4" t="str">
        <f>L7&amp;" = "&amp;F7&amp;": "&amp;F7&amp;" personas acumulan hasta el intervalo "&amp;D7&amp;" horas."</f>
        <v>F₄ = 54: 54 personas acumulan hasta el intervalo 3 a menos de 4 horas.</v>
      </c>
    </row>
    <row r="8" spans="1:26" ht="21.15" customHeight="1" x14ac:dyDescent="0.3">
      <c r="A8" s="14">
        <v>5</v>
      </c>
      <c r="B8" s="14">
        <v>4</v>
      </c>
      <c r="C8" s="14">
        <v>5</v>
      </c>
      <c r="D8" s="21" t="str">
        <f t="shared" si="0"/>
        <v>4 a menos de 5</v>
      </c>
      <c r="E8" s="14">
        <f>IF(A8=12,COUNTIFS(Datos_limpios_200!$D$2:$D$201,"&gt;="&amp;B8,Datos_limpios_200!$D$2:$D$201,"&lt;="&amp;C8),COUNTIFS(Datos_limpios_200!$D$2:$D$201,"&gt;="&amp;B8,Datos_limpios_200!$D$2:$D$201,"&lt;"&amp;C8))</f>
        <v>22</v>
      </c>
      <c r="F8" s="14">
        <f>SUM($E$4:E8)</f>
        <v>76</v>
      </c>
      <c r="G8" s="16">
        <f t="shared" si="1"/>
        <v>0.11</v>
      </c>
      <c r="H8" s="16">
        <f t="shared" si="2"/>
        <v>0.38</v>
      </c>
      <c r="I8" s="17">
        <f t="shared" si="3"/>
        <v>11</v>
      </c>
      <c r="J8" s="17">
        <f t="shared" si="4"/>
        <v>38</v>
      </c>
      <c r="L8" t="s">
        <v>147</v>
      </c>
      <c r="M8" s="4" t="str">
        <f>L8&amp;" = "&amp;F10&amp;": "&amp;F10&amp;" personas acumulan hasta el intervalo "&amp;D10&amp;" horas."</f>
        <v>F₇ = 144: 144 personas acumulan hasta el intervalo 6 a menos de 7 horas.</v>
      </c>
    </row>
    <row r="9" spans="1:26" ht="21.15" customHeight="1" x14ac:dyDescent="0.3">
      <c r="A9" s="14">
        <v>6</v>
      </c>
      <c r="B9" s="14">
        <v>5</v>
      </c>
      <c r="C9" s="14">
        <v>6</v>
      </c>
      <c r="D9" s="21" t="str">
        <f t="shared" si="0"/>
        <v>5 a menos de 6</v>
      </c>
      <c r="E9" s="14">
        <f>IF(A9=12,COUNTIFS(Datos_limpios_200!$D$2:$D$201,"&gt;="&amp;B9,Datos_limpios_200!$D$2:$D$201,"&lt;="&amp;C9),COUNTIFS(Datos_limpios_200!$D$2:$D$201,"&gt;="&amp;B9,Datos_limpios_200!$D$2:$D$201,"&lt;"&amp;C9))</f>
        <v>30</v>
      </c>
      <c r="F9" s="14">
        <f>SUM($E$4:E9)</f>
        <v>106</v>
      </c>
      <c r="G9" s="16">
        <f t="shared" si="1"/>
        <v>0.15</v>
      </c>
      <c r="H9" s="16">
        <f t="shared" si="2"/>
        <v>0.53</v>
      </c>
      <c r="I9" s="17">
        <f t="shared" si="3"/>
        <v>15</v>
      </c>
      <c r="J9" s="17">
        <f t="shared" si="4"/>
        <v>53</v>
      </c>
      <c r="L9" t="s">
        <v>148</v>
      </c>
      <c r="M9" s="4" t="str">
        <f>L9&amp;" = "&amp;F13&amp;": "&amp;F13&amp;" personas acumulan hasta el intervalo "&amp;D13&amp;" horas."</f>
        <v>F₁₀ = 199: 199 personas acumulan hasta el intervalo 9 a menos de 10 horas.</v>
      </c>
    </row>
    <row r="10" spans="1:26" ht="21.15" customHeight="1" x14ac:dyDescent="0.3">
      <c r="A10" s="14">
        <v>7</v>
      </c>
      <c r="B10" s="14">
        <v>6</v>
      </c>
      <c r="C10" s="14">
        <v>7</v>
      </c>
      <c r="D10" s="21" t="str">
        <f t="shared" si="0"/>
        <v>6 a menos de 7</v>
      </c>
      <c r="E10" s="14">
        <f>IF(A10=12,COUNTIFS(Datos_limpios_200!$D$2:$D$201,"&gt;="&amp;B10,Datos_limpios_200!$D$2:$D$201,"&lt;="&amp;C10),COUNTIFS(Datos_limpios_200!$D$2:$D$201,"&gt;="&amp;B10,Datos_limpios_200!$D$2:$D$201,"&lt;"&amp;C10))</f>
        <v>38</v>
      </c>
      <c r="F10" s="14">
        <f>SUM($E$4:E10)</f>
        <v>144</v>
      </c>
      <c r="G10" s="16">
        <f t="shared" si="1"/>
        <v>0.19</v>
      </c>
      <c r="H10" s="16">
        <f t="shared" si="2"/>
        <v>0.72</v>
      </c>
      <c r="I10" s="17">
        <f t="shared" si="3"/>
        <v>19</v>
      </c>
      <c r="J10" s="17">
        <f t="shared" si="4"/>
        <v>72</v>
      </c>
      <c r="L10" t="s">
        <v>149</v>
      </c>
      <c r="M10" s="4" t="str">
        <f>L10&amp;" = "&amp;ROUND(I6,2)&amp;"%: porcentaje de personas ubicadas en el intervalo "&amp;D6&amp;" horas."</f>
        <v>p₃ = 10,5%: porcentaje de personas ubicadas en el intervalo 2 a menos de 3 horas.</v>
      </c>
    </row>
    <row r="11" spans="1:26" ht="21.15" customHeight="1" x14ac:dyDescent="0.3">
      <c r="A11" s="14">
        <v>8</v>
      </c>
      <c r="B11" s="14">
        <v>7</v>
      </c>
      <c r="C11" s="14">
        <v>8</v>
      </c>
      <c r="D11" s="21" t="str">
        <f t="shared" si="0"/>
        <v>7 a menos de 8</v>
      </c>
      <c r="E11" s="14">
        <f>IF(A11=12,COUNTIFS(Datos_limpios_200!$D$2:$D$201,"&gt;="&amp;B11,Datos_limpios_200!$D$2:$D$201,"&lt;="&amp;C11),COUNTIFS(Datos_limpios_200!$D$2:$D$201,"&gt;="&amp;B11,Datos_limpios_200!$D$2:$D$201,"&lt;"&amp;C11))</f>
        <v>23</v>
      </c>
      <c r="F11" s="14">
        <f>SUM($E$4:E11)</f>
        <v>167</v>
      </c>
      <c r="G11" s="16">
        <f t="shared" si="1"/>
        <v>0.115</v>
      </c>
      <c r="H11" s="16">
        <f t="shared" si="2"/>
        <v>0.83499999999999996</v>
      </c>
      <c r="I11" s="17">
        <f t="shared" si="3"/>
        <v>11.5</v>
      </c>
      <c r="J11" s="17">
        <f t="shared" si="4"/>
        <v>83.5</v>
      </c>
      <c r="L11" t="s">
        <v>150</v>
      </c>
      <c r="M11" s="4" t="str">
        <f>L11&amp;" = "&amp;ROUND(I9,2)&amp;"%: porcentaje de personas ubicadas en el intervalo "&amp;D9&amp;" horas."</f>
        <v>p₆ = 15%: porcentaje de personas ubicadas en el intervalo 5 a menos de 6 horas.</v>
      </c>
    </row>
    <row r="12" spans="1:26" ht="21.15" customHeight="1" x14ac:dyDescent="0.3">
      <c r="A12" s="14">
        <v>9</v>
      </c>
      <c r="B12" s="14">
        <v>8</v>
      </c>
      <c r="C12" s="14">
        <v>9</v>
      </c>
      <c r="D12" s="21" t="str">
        <f t="shared" si="0"/>
        <v>8 a menos de 9</v>
      </c>
      <c r="E12" s="14">
        <f>IF(A12=12,COUNTIFS(Datos_limpios_200!$D$2:$D$201,"&gt;="&amp;B12,Datos_limpios_200!$D$2:$D$201,"&lt;="&amp;C12),COUNTIFS(Datos_limpios_200!$D$2:$D$201,"&gt;="&amp;B12,Datos_limpios_200!$D$2:$D$201,"&lt;"&amp;C12))</f>
        <v>19</v>
      </c>
      <c r="F12" s="14">
        <f>SUM($E$4:E12)</f>
        <v>186</v>
      </c>
      <c r="G12" s="16">
        <f t="shared" si="1"/>
        <v>9.5000000000000001E-2</v>
      </c>
      <c r="H12" s="16">
        <f t="shared" si="2"/>
        <v>0.93</v>
      </c>
      <c r="I12" s="17">
        <f t="shared" si="3"/>
        <v>9.5</v>
      </c>
      <c r="J12" s="17">
        <f t="shared" si="4"/>
        <v>93</v>
      </c>
      <c r="L12" t="s">
        <v>151</v>
      </c>
      <c r="M12" s="4" t="str">
        <f>L12&amp;" = "&amp;ROUND(I12,2)&amp;"%: porcentaje de personas ubicadas en el intervalo "&amp;D12&amp;" horas."</f>
        <v>p₉ = 9,5%: porcentaje de personas ubicadas en el intervalo 8 a menos de 9 horas.</v>
      </c>
    </row>
    <row r="13" spans="1:26" ht="21.15" customHeight="1" x14ac:dyDescent="0.3">
      <c r="A13" s="14">
        <v>10</v>
      </c>
      <c r="B13" s="14">
        <v>9</v>
      </c>
      <c r="C13" s="14">
        <v>10</v>
      </c>
      <c r="D13" s="21" t="str">
        <f t="shared" si="0"/>
        <v>9 a menos de 10</v>
      </c>
      <c r="E13" s="14">
        <f>IF(A13=12,COUNTIFS(Datos_limpios_200!$D$2:$D$201,"&gt;="&amp;B13,Datos_limpios_200!$D$2:$D$201,"&lt;="&amp;C13),COUNTIFS(Datos_limpios_200!$D$2:$D$201,"&gt;="&amp;B13,Datos_limpios_200!$D$2:$D$201,"&lt;"&amp;C13))</f>
        <v>13</v>
      </c>
      <c r="F13" s="14">
        <f>SUM($E$4:E13)</f>
        <v>199</v>
      </c>
      <c r="G13" s="16">
        <f t="shared" si="1"/>
        <v>6.5000000000000002E-2</v>
      </c>
      <c r="H13" s="16">
        <f t="shared" si="2"/>
        <v>0.995</v>
      </c>
      <c r="I13" s="17">
        <f t="shared" si="3"/>
        <v>6.5</v>
      </c>
      <c r="J13" s="17">
        <f t="shared" si="4"/>
        <v>99.5</v>
      </c>
      <c r="L13" t="s">
        <v>152</v>
      </c>
      <c r="M13" s="4" t="str">
        <f>L13&amp;" = "&amp;ROUND(J11,2)&amp;"%: porcentaje acumulado hasta el intervalo "&amp;D11&amp;" horas."</f>
        <v>P₈ = 83,5%: porcentaje acumulado hasta el intervalo 7 a menos de 8 horas.</v>
      </c>
    </row>
    <row r="14" spans="1:26" ht="21.15" customHeight="1" x14ac:dyDescent="0.3">
      <c r="A14" s="14">
        <v>11</v>
      </c>
      <c r="B14" s="14">
        <v>10</v>
      </c>
      <c r="C14" s="14">
        <v>11</v>
      </c>
      <c r="D14" s="21" t="str">
        <f t="shared" si="0"/>
        <v>10 a menos de 11</v>
      </c>
      <c r="E14" s="14">
        <f>IF(A14=12,COUNTIFS(Datos_limpios_200!$D$2:$D$201,"&gt;="&amp;B14,Datos_limpios_200!$D$2:$D$201,"&lt;="&amp;C14),COUNTIFS(Datos_limpios_200!$D$2:$D$201,"&gt;="&amp;B14,Datos_limpios_200!$D$2:$D$201,"&lt;"&amp;C14))</f>
        <v>1</v>
      </c>
      <c r="F14" s="14">
        <f>SUM($E$4:E14)</f>
        <v>200</v>
      </c>
      <c r="G14" s="16">
        <f t="shared" si="1"/>
        <v>5.0000000000000001E-3</v>
      </c>
      <c r="H14" s="16">
        <f t="shared" si="2"/>
        <v>1</v>
      </c>
      <c r="I14" s="17">
        <f t="shared" si="3"/>
        <v>0.5</v>
      </c>
      <c r="J14" s="17">
        <f t="shared" si="4"/>
        <v>100</v>
      </c>
      <c r="L14" t="s">
        <v>153</v>
      </c>
      <c r="M14" s="4" t="str">
        <f>L14&amp;" = "&amp;ROUND(J15,2)&amp;"%: porcentaje acumulado hasta el intervalo "&amp;D15&amp;" horas."</f>
        <v>P₁₂ = 100%: porcentaje acumulado hasta el intervalo 11 a 12 horas.</v>
      </c>
    </row>
    <row r="15" spans="1:26" ht="12" customHeight="1" x14ac:dyDescent="0.3">
      <c r="A15" s="14">
        <v>12</v>
      </c>
      <c r="B15" s="14">
        <v>11</v>
      </c>
      <c r="C15" s="14">
        <v>12</v>
      </c>
      <c r="D15" s="21" t="str">
        <f t="shared" si="0"/>
        <v>11 a 12</v>
      </c>
      <c r="E15" s="14">
        <f>IF(A15=12,COUNTIFS(Datos_limpios_200!$D$2:$D$201,"&gt;="&amp;B15,Datos_limpios_200!$D$2:$D$201,"&lt;="&amp;C15),COUNTIFS(Datos_limpios_200!$D$2:$D$201,"&gt;="&amp;B15,Datos_limpios_200!$D$2:$D$201,"&lt;"&amp;C15))</f>
        <v>0</v>
      </c>
      <c r="F15" s="14">
        <f>SUM($E$4:E15)</f>
        <v>200</v>
      </c>
      <c r="G15" s="16">
        <f t="shared" si="1"/>
        <v>0</v>
      </c>
      <c r="H15" s="16">
        <f t="shared" si="2"/>
        <v>1</v>
      </c>
      <c r="I15" s="17">
        <f t="shared" si="3"/>
        <v>0</v>
      </c>
      <c r="J15" s="17">
        <f t="shared" si="4"/>
        <v>100</v>
      </c>
    </row>
    <row r="16" spans="1:26" ht="12" customHeight="1" x14ac:dyDescent="0.3">
      <c r="A16" s="15"/>
      <c r="B16" s="15"/>
      <c r="C16" s="15"/>
      <c r="D16" s="22" t="s">
        <v>154</v>
      </c>
      <c r="E16" s="18">
        <f>SUM(E4:E15)</f>
        <v>200</v>
      </c>
      <c r="F16" s="18"/>
      <c r="G16" s="19">
        <f>SUM(G4:G15)</f>
        <v>0.99999999999999989</v>
      </c>
      <c r="H16" s="19"/>
      <c r="I16" s="20">
        <f>SUM(I4:I15)</f>
        <v>100</v>
      </c>
      <c r="J16" s="17"/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topLeftCell="A78" workbookViewId="0">
      <selection sqref="A1:H1"/>
    </sheetView>
  </sheetViews>
  <sheetFormatPr baseColWidth="10" defaultColWidth="8.88671875" defaultRowHeight="14.4" x14ac:dyDescent="0.3"/>
  <cols>
    <col min="1" max="1" width="34" customWidth="1"/>
    <col min="2" max="2" width="80" customWidth="1"/>
    <col min="3" max="3" width="3" customWidth="1"/>
    <col min="4" max="5" width="24" customWidth="1"/>
  </cols>
  <sheetData>
    <row r="1" spans="1:26" ht="46.05" customHeight="1" x14ac:dyDescent="0.3">
      <c r="A1" s="38" t="s">
        <v>155</v>
      </c>
      <c r="B1" s="38"/>
      <c r="C1" s="38"/>
      <c r="D1" s="41"/>
      <c r="E1" s="41"/>
      <c r="F1" s="39"/>
      <c r="G1" s="39"/>
      <c r="H1" s="39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3" spans="1:26" x14ac:dyDescent="0.3">
      <c r="A3" s="23" t="s">
        <v>156</v>
      </c>
      <c r="B3" s="4" t="s">
        <v>157</v>
      </c>
      <c r="D3" s="13" t="s">
        <v>158</v>
      </c>
      <c r="E3" s="13" t="s">
        <v>159</v>
      </c>
    </row>
    <row r="4" spans="1:26" x14ac:dyDescent="0.3">
      <c r="A4" s="23" t="s">
        <v>160</v>
      </c>
      <c r="B4" s="4" t="str">
        <f>"y = "&amp;ROUND(INTERCEPT(Datos_limpios_200!$J$2:$J$201,Datos_limpios_200!$I$2:$I$201),3)&amp;" + ("&amp;ROUND(SLOPE(Datos_limpios_200!$J$2:$J$201,Datos_limpios_200!$I$2:$I$201),3)&amp;")x"</f>
        <v>y = 6,617 + (-0,244)x</v>
      </c>
      <c r="D4" s="7">
        <v>3</v>
      </c>
      <c r="E4" s="3">
        <v>7</v>
      </c>
    </row>
    <row r="5" spans="1:26" x14ac:dyDescent="0.3">
      <c r="A5" s="23" t="s">
        <v>161</v>
      </c>
      <c r="B5" s="24">
        <f>SLOPE(Datos_limpios_200!$J$2:$J$201,Datos_limpios_200!$I$2:$I$201)</f>
        <v>-0.24401747819035394</v>
      </c>
      <c r="D5" s="7">
        <v>3.5</v>
      </c>
      <c r="E5" s="3">
        <v>5</v>
      </c>
    </row>
    <row r="6" spans="1:26" x14ac:dyDescent="0.3">
      <c r="A6" s="23" t="s">
        <v>162</v>
      </c>
      <c r="B6" s="24">
        <f>CORREL(Datos_limpios_200!$I$2:$I$201,Datos_limpios_200!$J$2:$J$201)</f>
        <v>-0.19410584285501897</v>
      </c>
      <c r="D6" s="7">
        <v>5</v>
      </c>
      <c r="E6" s="3">
        <v>10</v>
      </c>
    </row>
    <row r="7" spans="1:26" x14ac:dyDescent="0.3">
      <c r="A7" s="23" t="s">
        <v>163</v>
      </c>
      <c r="B7" s="24">
        <f>RSQ(Datos_limpios_200!$J$2:$J$201,Datos_limpios_200!$I$2:$I$201)</f>
        <v>3.7677078230457343E-2</v>
      </c>
      <c r="D7" s="7">
        <v>5</v>
      </c>
      <c r="E7" s="3">
        <v>7</v>
      </c>
    </row>
    <row r="8" spans="1:26" ht="28.8" x14ac:dyDescent="0.3">
      <c r="A8" s="23" t="s">
        <v>164</v>
      </c>
      <c r="B8" s="24" t="str">
        <f>IF(B6&lt;0,"La relación observada es negativa: a mayor cantidad de horas en redes sociales, el rendimiento académico tiende a disminuir en esta muestra.","La relación observada es positiva: a mayor cantidad de horas en redes sociales, el rendimiento académico tiende a aumentar en esta muestra.")</f>
        <v>La relación observada es negativa: a mayor cantidad de horas en redes sociales, el rendimiento académico tiende a disminuir en esta muestra.</v>
      </c>
      <c r="D8" s="7">
        <v>1.4</v>
      </c>
      <c r="E8" s="3">
        <v>7</v>
      </c>
    </row>
    <row r="9" spans="1:26" x14ac:dyDescent="0.3">
      <c r="A9" s="9" t="s">
        <v>164</v>
      </c>
      <c r="B9" t="s">
        <v>165</v>
      </c>
      <c r="D9" s="7">
        <v>3.8</v>
      </c>
      <c r="E9" s="3">
        <v>7</v>
      </c>
    </row>
    <row r="10" spans="1:26" x14ac:dyDescent="0.3">
      <c r="D10" s="7">
        <v>3.4</v>
      </c>
      <c r="E10" s="3">
        <v>6</v>
      </c>
    </row>
    <row r="11" spans="1:26" x14ac:dyDescent="0.3">
      <c r="D11" s="7">
        <v>2.9</v>
      </c>
      <c r="E11" s="3">
        <v>6</v>
      </c>
    </row>
    <row r="12" spans="1:26" x14ac:dyDescent="0.3">
      <c r="D12" s="7">
        <v>2</v>
      </c>
      <c r="E12" s="3">
        <v>8</v>
      </c>
    </row>
    <row r="13" spans="1:26" x14ac:dyDescent="0.3">
      <c r="D13" s="7">
        <v>1.6</v>
      </c>
      <c r="E13" s="3">
        <v>6</v>
      </c>
    </row>
    <row r="14" spans="1:26" x14ac:dyDescent="0.3">
      <c r="D14" s="7">
        <v>1.8</v>
      </c>
      <c r="E14" s="3">
        <v>6</v>
      </c>
    </row>
    <row r="15" spans="1:26" x14ac:dyDescent="0.3">
      <c r="D15" s="7">
        <v>2.7</v>
      </c>
      <c r="E15" s="3">
        <v>6</v>
      </c>
    </row>
    <row r="16" spans="1:26" x14ac:dyDescent="0.3">
      <c r="D16" s="7">
        <v>3.5</v>
      </c>
      <c r="E16" s="3">
        <v>7</v>
      </c>
    </row>
    <row r="17" spans="4:5" x14ac:dyDescent="0.3">
      <c r="D17" s="7">
        <v>2.9</v>
      </c>
      <c r="E17" s="3">
        <v>7</v>
      </c>
    </row>
    <row r="18" spans="4:5" x14ac:dyDescent="0.3">
      <c r="D18" s="7">
        <v>3.3</v>
      </c>
      <c r="E18" s="3">
        <v>6</v>
      </c>
    </row>
    <row r="19" spans="4:5" x14ac:dyDescent="0.3">
      <c r="D19" s="7">
        <v>1.7</v>
      </c>
      <c r="E19" s="3">
        <v>8</v>
      </c>
    </row>
    <row r="20" spans="4:5" x14ac:dyDescent="0.3">
      <c r="D20" s="7">
        <v>7.3</v>
      </c>
      <c r="E20" s="3">
        <v>3</v>
      </c>
    </row>
    <row r="21" spans="4:5" x14ac:dyDescent="0.3">
      <c r="D21" s="7">
        <v>5.2</v>
      </c>
      <c r="E21" s="3">
        <v>5</v>
      </c>
    </row>
    <row r="22" spans="4:5" x14ac:dyDescent="0.3">
      <c r="D22" s="7">
        <v>6.6</v>
      </c>
      <c r="E22" s="3">
        <v>5</v>
      </c>
    </row>
    <row r="23" spans="4:5" x14ac:dyDescent="0.3">
      <c r="D23" s="7">
        <v>4.7</v>
      </c>
      <c r="E23" s="3">
        <v>6</v>
      </c>
    </row>
    <row r="24" spans="4:5" x14ac:dyDescent="0.3">
      <c r="D24" s="7">
        <v>3.6</v>
      </c>
      <c r="E24" s="3">
        <v>5</v>
      </c>
    </row>
    <row r="25" spans="4:5" x14ac:dyDescent="0.3">
      <c r="D25" s="7">
        <v>3.4</v>
      </c>
      <c r="E25" s="3">
        <v>7</v>
      </c>
    </row>
    <row r="26" spans="4:5" x14ac:dyDescent="0.3">
      <c r="D26" s="7">
        <v>2</v>
      </c>
      <c r="E26" s="3">
        <v>7</v>
      </c>
    </row>
    <row r="27" spans="4:5" x14ac:dyDescent="0.3">
      <c r="D27" s="7">
        <v>1.1000000000000001</v>
      </c>
      <c r="E27" s="3">
        <v>7</v>
      </c>
    </row>
    <row r="28" spans="4:5" x14ac:dyDescent="0.3">
      <c r="D28" s="7">
        <v>1.8</v>
      </c>
      <c r="E28" s="3">
        <v>7</v>
      </c>
    </row>
    <row r="29" spans="4:5" x14ac:dyDescent="0.3">
      <c r="D29" s="7">
        <v>2.6</v>
      </c>
      <c r="E29" s="3">
        <v>6</v>
      </c>
    </row>
    <row r="30" spans="4:5" x14ac:dyDescent="0.3">
      <c r="D30" s="7">
        <v>2.4</v>
      </c>
      <c r="E30" s="3">
        <v>7</v>
      </c>
    </row>
    <row r="31" spans="4:5" x14ac:dyDescent="0.3">
      <c r="D31" s="7">
        <v>2.9</v>
      </c>
      <c r="E31" s="3">
        <v>5</v>
      </c>
    </row>
    <row r="32" spans="4:5" x14ac:dyDescent="0.3">
      <c r="D32" s="7">
        <v>3.7</v>
      </c>
      <c r="E32" s="3">
        <v>6</v>
      </c>
    </row>
    <row r="33" spans="4:5" x14ac:dyDescent="0.3">
      <c r="D33" s="7">
        <v>4.2</v>
      </c>
      <c r="E33" s="3">
        <v>5</v>
      </c>
    </row>
    <row r="34" spans="4:5" x14ac:dyDescent="0.3">
      <c r="D34" s="7">
        <v>5.3</v>
      </c>
      <c r="E34" s="3">
        <v>6</v>
      </c>
    </row>
    <row r="35" spans="4:5" x14ac:dyDescent="0.3">
      <c r="D35" s="7">
        <v>3.6</v>
      </c>
      <c r="E35" s="3">
        <v>5</v>
      </c>
    </row>
    <row r="36" spans="4:5" x14ac:dyDescent="0.3">
      <c r="D36" s="7">
        <v>3.2</v>
      </c>
      <c r="E36" s="3">
        <v>5</v>
      </c>
    </row>
    <row r="37" spans="4:5" x14ac:dyDescent="0.3">
      <c r="D37" s="7">
        <v>1.4</v>
      </c>
      <c r="E37" s="3">
        <v>7</v>
      </c>
    </row>
    <row r="38" spans="4:5" x14ac:dyDescent="0.3">
      <c r="D38" s="7">
        <v>2.5</v>
      </c>
      <c r="E38" s="3">
        <v>5</v>
      </c>
    </row>
    <row r="39" spans="4:5" x14ac:dyDescent="0.3">
      <c r="D39" s="7">
        <v>2</v>
      </c>
      <c r="E39" s="3">
        <v>6</v>
      </c>
    </row>
    <row r="40" spans="4:5" x14ac:dyDescent="0.3">
      <c r="D40" s="7">
        <v>2.6</v>
      </c>
      <c r="E40" s="3">
        <v>7</v>
      </c>
    </row>
    <row r="41" spans="4:5" x14ac:dyDescent="0.3">
      <c r="D41" s="7">
        <v>2.6</v>
      </c>
      <c r="E41" s="3">
        <v>6</v>
      </c>
    </row>
    <row r="42" spans="4:5" x14ac:dyDescent="0.3">
      <c r="D42" s="7">
        <v>5.0999999999999996</v>
      </c>
      <c r="E42" s="3">
        <v>7</v>
      </c>
    </row>
    <row r="43" spans="4:5" x14ac:dyDescent="0.3">
      <c r="D43" s="7">
        <v>1.9</v>
      </c>
      <c r="E43" s="3">
        <v>6</v>
      </c>
    </row>
    <row r="44" spans="4:5" x14ac:dyDescent="0.3">
      <c r="D44" s="7">
        <v>6.2</v>
      </c>
      <c r="E44" s="3">
        <v>4</v>
      </c>
    </row>
    <row r="45" spans="4:5" x14ac:dyDescent="0.3">
      <c r="D45" s="7">
        <v>2.6</v>
      </c>
      <c r="E45" s="3">
        <v>5</v>
      </c>
    </row>
    <row r="46" spans="4:5" x14ac:dyDescent="0.3">
      <c r="D46" s="7">
        <v>2.2000000000000002</v>
      </c>
      <c r="E46" s="3">
        <v>7</v>
      </c>
    </row>
    <row r="47" spans="4:5" x14ac:dyDescent="0.3">
      <c r="D47" s="7">
        <v>5.5</v>
      </c>
      <c r="E47" s="3">
        <v>4</v>
      </c>
    </row>
    <row r="48" spans="4:5" x14ac:dyDescent="0.3">
      <c r="D48" s="7">
        <v>5.4</v>
      </c>
      <c r="E48" s="3">
        <v>5</v>
      </c>
    </row>
    <row r="49" spans="4:5" x14ac:dyDescent="0.3">
      <c r="D49" s="7">
        <v>7.2</v>
      </c>
      <c r="E49" s="3">
        <v>4</v>
      </c>
    </row>
    <row r="50" spans="4:5" x14ac:dyDescent="0.3">
      <c r="D50" s="7">
        <v>2.4</v>
      </c>
      <c r="E50" s="3">
        <v>5</v>
      </c>
    </row>
    <row r="51" spans="4:5" x14ac:dyDescent="0.3">
      <c r="D51" s="7">
        <v>4.9000000000000004</v>
      </c>
      <c r="E51" s="3">
        <v>5</v>
      </c>
    </row>
    <row r="52" spans="4:5" x14ac:dyDescent="0.3">
      <c r="D52" s="7">
        <v>5.9</v>
      </c>
      <c r="E52" s="3">
        <v>5</v>
      </c>
    </row>
    <row r="53" spans="4:5" x14ac:dyDescent="0.3">
      <c r="D53" s="7">
        <v>2.8</v>
      </c>
      <c r="E53" s="3">
        <v>5</v>
      </c>
    </row>
    <row r="54" spans="4:5" x14ac:dyDescent="0.3">
      <c r="D54" s="7">
        <v>3.3</v>
      </c>
      <c r="E54" s="3">
        <v>6</v>
      </c>
    </row>
    <row r="55" spans="4:5" x14ac:dyDescent="0.3">
      <c r="D55" s="7">
        <v>7.8</v>
      </c>
      <c r="E55" s="3">
        <v>4</v>
      </c>
    </row>
    <row r="56" spans="4:5" x14ac:dyDescent="0.3">
      <c r="D56" s="7">
        <v>3.3</v>
      </c>
      <c r="E56" s="3">
        <v>6</v>
      </c>
    </row>
    <row r="57" spans="4:5" x14ac:dyDescent="0.3">
      <c r="D57" s="7">
        <v>1</v>
      </c>
      <c r="E57" s="3">
        <v>8</v>
      </c>
    </row>
    <row r="58" spans="4:5" x14ac:dyDescent="0.3">
      <c r="D58" s="7">
        <v>3.5</v>
      </c>
      <c r="E58" s="3">
        <v>6</v>
      </c>
    </row>
    <row r="59" spans="4:5" x14ac:dyDescent="0.3">
      <c r="D59" s="7">
        <v>1.1000000000000001</v>
      </c>
      <c r="E59" s="3">
        <v>9</v>
      </c>
    </row>
    <row r="60" spans="4:5" x14ac:dyDescent="0.3">
      <c r="D60" s="7">
        <v>2.4</v>
      </c>
      <c r="E60" s="3">
        <v>7</v>
      </c>
    </row>
    <row r="61" spans="4:5" x14ac:dyDescent="0.3">
      <c r="D61" s="7">
        <v>1.8</v>
      </c>
      <c r="E61" s="3">
        <v>7</v>
      </c>
    </row>
    <row r="62" spans="4:5" x14ac:dyDescent="0.3">
      <c r="D62" s="7">
        <v>1.2</v>
      </c>
      <c r="E62" s="3">
        <v>9</v>
      </c>
    </row>
    <row r="63" spans="4:5" x14ac:dyDescent="0.3">
      <c r="D63" s="7">
        <v>3.1</v>
      </c>
      <c r="E63" s="3">
        <v>6</v>
      </c>
    </row>
    <row r="64" spans="4:5" x14ac:dyDescent="0.3">
      <c r="D64" s="7">
        <v>2.4</v>
      </c>
      <c r="E64" s="3">
        <v>6</v>
      </c>
    </row>
    <row r="65" spans="4:5" x14ac:dyDescent="0.3">
      <c r="D65" s="7">
        <v>1.3</v>
      </c>
      <c r="E65" s="3">
        <v>8</v>
      </c>
    </row>
    <row r="66" spans="4:5" x14ac:dyDescent="0.3">
      <c r="D66" s="7">
        <v>1.1000000000000001</v>
      </c>
      <c r="E66" s="3">
        <v>9</v>
      </c>
    </row>
    <row r="67" spans="4:5" x14ac:dyDescent="0.3">
      <c r="D67" s="7">
        <v>1.4</v>
      </c>
      <c r="E67" s="3">
        <v>6</v>
      </c>
    </row>
    <row r="68" spans="4:5" x14ac:dyDescent="0.3">
      <c r="D68" s="7">
        <v>1.5</v>
      </c>
      <c r="E68" s="3">
        <v>6</v>
      </c>
    </row>
    <row r="69" spans="4:5" x14ac:dyDescent="0.3">
      <c r="D69" s="7">
        <v>4</v>
      </c>
      <c r="E69" s="3">
        <v>7</v>
      </c>
    </row>
    <row r="70" spans="4:5" x14ac:dyDescent="0.3">
      <c r="D70" s="7">
        <v>6</v>
      </c>
      <c r="E70" s="3">
        <v>7</v>
      </c>
    </row>
    <row r="71" spans="4:5" x14ac:dyDescent="0.3">
      <c r="D71" s="7">
        <v>1.3</v>
      </c>
      <c r="E71" s="3">
        <v>6</v>
      </c>
    </row>
    <row r="72" spans="4:5" x14ac:dyDescent="0.3">
      <c r="D72" s="7">
        <v>3.3</v>
      </c>
      <c r="E72" s="3">
        <v>7</v>
      </c>
    </row>
    <row r="73" spans="4:5" x14ac:dyDescent="0.3">
      <c r="D73" s="7">
        <v>1.4</v>
      </c>
      <c r="E73" s="3">
        <v>7</v>
      </c>
    </row>
    <row r="74" spans="4:5" x14ac:dyDescent="0.3">
      <c r="D74" s="7">
        <v>2.5</v>
      </c>
      <c r="E74" s="3">
        <v>6</v>
      </c>
    </row>
    <row r="75" spans="4:5" x14ac:dyDescent="0.3">
      <c r="D75" s="7">
        <v>4.2</v>
      </c>
      <c r="E75" s="3">
        <v>5</v>
      </c>
    </row>
    <row r="76" spans="4:5" x14ac:dyDescent="0.3">
      <c r="D76" s="7">
        <v>4.3</v>
      </c>
      <c r="E76" s="3">
        <v>4</v>
      </c>
    </row>
    <row r="77" spans="4:5" x14ac:dyDescent="0.3">
      <c r="D77" s="7">
        <v>1.3</v>
      </c>
      <c r="E77" s="3">
        <v>8</v>
      </c>
    </row>
    <row r="78" spans="4:5" x14ac:dyDescent="0.3">
      <c r="D78" s="7">
        <v>1.1000000000000001</v>
      </c>
      <c r="E78" s="3">
        <v>7</v>
      </c>
    </row>
    <row r="79" spans="4:5" x14ac:dyDescent="0.3">
      <c r="D79" s="7">
        <v>5.5</v>
      </c>
      <c r="E79" s="3">
        <v>4</v>
      </c>
    </row>
    <row r="80" spans="4:5" x14ac:dyDescent="0.3">
      <c r="D80" s="7">
        <v>2.2999999999999998</v>
      </c>
      <c r="E80" s="3">
        <v>6</v>
      </c>
    </row>
    <row r="81" spans="4:5" x14ac:dyDescent="0.3">
      <c r="D81" s="7">
        <v>3.1</v>
      </c>
      <c r="E81" s="3">
        <v>5</v>
      </c>
    </row>
    <row r="82" spans="4:5" x14ac:dyDescent="0.3">
      <c r="D82" s="7">
        <v>2.2000000000000002</v>
      </c>
      <c r="E82" s="3">
        <v>8</v>
      </c>
    </row>
    <row r="83" spans="4:5" x14ac:dyDescent="0.3">
      <c r="D83" s="7">
        <v>4.4000000000000004</v>
      </c>
      <c r="E83" s="3">
        <v>5</v>
      </c>
    </row>
    <row r="84" spans="4:5" x14ac:dyDescent="0.3">
      <c r="D84" s="7">
        <v>2</v>
      </c>
      <c r="E84" s="3">
        <v>7</v>
      </c>
    </row>
    <row r="85" spans="4:5" x14ac:dyDescent="0.3">
      <c r="D85" s="7">
        <v>2.7</v>
      </c>
      <c r="E85" s="3">
        <v>6</v>
      </c>
    </row>
    <row r="86" spans="4:5" x14ac:dyDescent="0.3">
      <c r="D86" s="7">
        <v>2.5</v>
      </c>
      <c r="E86" s="3">
        <v>6</v>
      </c>
    </row>
    <row r="87" spans="4:5" x14ac:dyDescent="0.3">
      <c r="D87" s="7">
        <v>5.2</v>
      </c>
      <c r="E87" s="3">
        <v>5</v>
      </c>
    </row>
    <row r="88" spans="4:5" x14ac:dyDescent="0.3">
      <c r="D88" s="7">
        <v>5.3</v>
      </c>
      <c r="E88" s="3">
        <v>4</v>
      </c>
    </row>
    <row r="89" spans="4:5" x14ac:dyDescent="0.3">
      <c r="D89" s="7">
        <v>4.9000000000000004</v>
      </c>
      <c r="E89" s="3">
        <v>4</v>
      </c>
    </row>
    <row r="90" spans="4:5" x14ac:dyDescent="0.3">
      <c r="D90" s="7">
        <v>3.5</v>
      </c>
      <c r="E90" s="3">
        <v>9</v>
      </c>
    </row>
    <row r="91" spans="4:5" x14ac:dyDescent="0.3">
      <c r="D91" s="7">
        <v>7</v>
      </c>
      <c r="E91" s="3">
        <v>3</v>
      </c>
    </row>
    <row r="92" spans="4:5" x14ac:dyDescent="0.3">
      <c r="D92" s="7">
        <v>4</v>
      </c>
      <c r="E92" s="3">
        <v>7</v>
      </c>
    </row>
    <row r="93" spans="4:5" x14ac:dyDescent="0.3">
      <c r="D93" s="7">
        <v>4</v>
      </c>
      <c r="E93" s="3">
        <v>7</v>
      </c>
    </row>
    <row r="94" spans="4:5" x14ac:dyDescent="0.3">
      <c r="D94" s="7">
        <v>4</v>
      </c>
      <c r="E94" s="3">
        <v>7</v>
      </c>
    </row>
    <row r="95" spans="4:5" x14ac:dyDescent="0.3">
      <c r="D95" s="7">
        <v>2.5</v>
      </c>
      <c r="E95" s="3">
        <v>5</v>
      </c>
    </row>
    <row r="96" spans="4:5" x14ac:dyDescent="0.3">
      <c r="D96" s="7">
        <v>2.5</v>
      </c>
      <c r="E96" s="3">
        <v>7</v>
      </c>
    </row>
    <row r="97" spans="4:5" x14ac:dyDescent="0.3">
      <c r="D97" s="7">
        <v>3.5</v>
      </c>
      <c r="E97" s="3">
        <v>1</v>
      </c>
    </row>
    <row r="98" spans="4:5" x14ac:dyDescent="0.3">
      <c r="D98" s="7">
        <v>3.5</v>
      </c>
      <c r="E98" s="3">
        <v>9</v>
      </c>
    </row>
    <row r="99" spans="4:5" x14ac:dyDescent="0.3">
      <c r="D99" s="7">
        <v>1</v>
      </c>
      <c r="E99" s="3">
        <v>1</v>
      </c>
    </row>
    <row r="100" spans="4:5" x14ac:dyDescent="0.3">
      <c r="D100" s="7">
        <v>2</v>
      </c>
      <c r="E100" s="3">
        <v>10</v>
      </c>
    </row>
    <row r="101" spans="4:5" x14ac:dyDescent="0.3">
      <c r="D101" s="7">
        <v>2.4</v>
      </c>
      <c r="E101" s="3">
        <v>2</v>
      </c>
    </row>
    <row r="102" spans="4:5" x14ac:dyDescent="0.3">
      <c r="D102" s="7">
        <v>8</v>
      </c>
      <c r="E102" s="3">
        <v>2</v>
      </c>
    </row>
    <row r="103" spans="4:5" x14ac:dyDescent="0.3">
      <c r="D103" s="7">
        <v>2.2000000000000002</v>
      </c>
      <c r="E103" s="3">
        <v>9</v>
      </c>
    </row>
    <row r="104" spans="4:5" x14ac:dyDescent="0.3">
      <c r="D104" s="7">
        <v>1.9</v>
      </c>
      <c r="E104" s="3">
        <v>4</v>
      </c>
    </row>
    <row r="105" spans="4:5" x14ac:dyDescent="0.3">
      <c r="D105" s="7">
        <v>4.8</v>
      </c>
      <c r="E105" s="3">
        <v>10</v>
      </c>
    </row>
    <row r="106" spans="4:5" x14ac:dyDescent="0.3">
      <c r="D106" s="7">
        <v>4.3</v>
      </c>
      <c r="E106" s="3">
        <v>5</v>
      </c>
    </row>
    <row r="107" spans="4:5" x14ac:dyDescent="0.3">
      <c r="D107" s="7">
        <v>1.6</v>
      </c>
      <c r="E107" s="3">
        <v>10</v>
      </c>
    </row>
    <row r="108" spans="4:5" x14ac:dyDescent="0.3">
      <c r="D108" s="7">
        <v>6.9</v>
      </c>
      <c r="E108" s="3">
        <v>5</v>
      </c>
    </row>
    <row r="109" spans="4:5" x14ac:dyDescent="0.3">
      <c r="D109" s="7">
        <v>5.9</v>
      </c>
      <c r="E109" s="3">
        <v>10</v>
      </c>
    </row>
    <row r="110" spans="4:5" x14ac:dyDescent="0.3">
      <c r="D110" s="7">
        <v>2.7</v>
      </c>
      <c r="E110" s="3">
        <v>6</v>
      </c>
    </row>
    <row r="111" spans="4:5" x14ac:dyDescent="0.3">
      <c r="D111" s="7">
        <v>7.3</v>
      </c>
      <c r="E111" s="3">
        <v>5</v>
      </c>
    </row>
    <row r="112" spans="4:5" x14ac:dyDescent="0.3">
      <c r="D112" s="7">
        <v>1.1000000000000001</v>
      </c>
      <c r="E112" s="3">
        <v>10</v>
      </c>
    </row>
    <row r="113" spans="4:5" x14ac:dyDescent="0.3">
      <c r="D113" s="7">
        <v>5.5</v>
      </c>
      <c r="E113" s="3">
        <v>2</v>
      </c>
    </row>
    <row r="114" spans="4:5" x14ac:dyDescent="0.3">
      <c r="D114" s="7">
        <v>4.4000000000000004</v>
      </c>
      <c r="E114" s="3">
        <v>10</v>
      </c>
    </row>
    <row r="115" spans="4:5" x14ac:dyDescent="0.3">
      <c r="D115" s="7">
        <v>7.1</v>
      </c>
      <c r="E115" s="3">
        <v>10</v>
      </c>
    </row>
    <row r="116" spans="4:5" x14ac:dyDescent="0.3">
      <c r="D116" s="7">
        <v>3.7</v>
      </c>
      <c r="E116" s="3">
        <v>7</v>
      </c>
    </row>
    <row r="117" spans="4:5" x14ac:dyDescent="0.3">
      <c r="D117" s="7">
        <v>3.4</v>
      </c>
      <c r="E117" s="3">
        <v>6</v>
      </c>
    </row>
    <row r="118" spans="4:5" x14ac:dyDescent="0.3">
      <c r="D118" s="7">
        <v>2.9</v>
      </c>
      <c r="E118" s="3">
        <v>9</v>
      </c>
    </row>
    <row r="119" spans="4:5" x14ac:dyDescent="0.3">
      <c r="D119" s="7">
        <v>2.8</v>
      </c>
      <c r="E119" s="3">
        <v>8</v>
      </c>
    </row>
    <row r="120" spans="4:5" x14ac:dyDescent="0.3">
      <c r="D120" s="7">
        <v>5.7</v>
      </c>
      <c r="E120" s="3">
        <v>4</v>
      </c>
    </row>
    <row r="121" spans="4:5" x14ac:dyDescent="0.3">
      <c r="D121" s="7">
        <v>6.6</v>
      </c>
      <c r="E121" s="3">
        <v>5</v>
      </c>
    </row>
    <row r="122" spans="4:5" x14ac:dyDescent="0.3">
      <c r="D122" s="7">
        <v>1.1000000000000001</v>
      </c>
      <c r="E122" s="3">
        <v>1</v>
      </c>
    </row>
    <row r="123" spans="4:5" x14ac:dyDescent="0.3">
      <c r="D123" s="7">
        <v>1.2</v>
      </c>
      <c r="E123" s="3">
        <v>6</v>
      </c>
    </row>
    <row r="124" spans="4:5" x14ac:dyDescent="0.3">
      <c r="D124" s="7">
        <v>6.3</v>
      </c>
      <c r="E124" s="3">
        <v>7</v>
      </c>
    </row>
    <row r="125" spans="4:5" x14ac:dyDescent="0.3">
      <c r="D125" s="7">
        <v>6.3</v>
      </c>
      <c r="E125" s="3">
        <v>1</v>
      </c>
    </row>
    <row r="126" spans="4:5" x14ac:dyDescent="0.3">
      <c r="D126" s="7">
        <v>7.4</v>
      </c>
      <c r="E126" s="3">
        <v>2</v>
      </c>
    </row>
    <row r="127" spans="4:5" x14ac:dyDescent="0.3">
      <c r="D127" s="7">
        <v>2</v>
      </c>
      <c r="E127" s="3">
        <v>3</v>
      </c>
    </row>
    <row r="128" spans="4:5" x14ac:dyDescent="0.3">
      <c r="D128" s="7">
        <v>2.9</v>
      </c>
      <c r="E128" s="3">
        <v>9</v>
      </c>
    </row>
    <row r="129" spans="4:5" x14ac:dyDescent="0.3">
      <c r="D129" s="7">
        <v>2.1</v>
      </c>
      <c r="E129" s="3">
        <v>1</v>
      </c>
    </row>
    <row r="130" spans="4:5" x14ac:dyDescent="0.3">
      <c r="D130" s="7">
        <v>6.6</v>
      </c>
      <c r="E130" s="3">
        <v>4</v>
      </c>
    </row>
    <row r="131" spans="4:5" x14ac:dyDescent="0.3">
      <c r="D131" s="7">
        <v>1.4</v>
      </c>
      <c r="E131" s="3">
        <v>3</v>
      </c>
    </row>
    <row r="132" spans="4:5" x14ac:dyDescent="0.3">
      <c r="D132" s="7">
        <v>3.4</v>
      </c>
      <c r="E132" s="3">
        <v>4</v>
      </c>
    </row>
    <row r="133" spans="4:5" x14ac:dyDescent="0.3">
      <c r="D133" s="7">
        <v>3</v>
      </c>
      <c r="E133" s="3">
        <v>1</v>
      </c>
    </row>
    <row r="134" spans="4:5" x14ac:dyDescent="0.3">
      <c r="D134" s="7">
        <v>3.9</v>
      </c>
      <c r="E134" s="3">
        <v>1</v>
      </c>
    </row>
    <row r="135" spans="4:5" x14ac:dyDescent="0.3">
      <c r="D135" s="7">
        <v>7.3</v>
      </c>
      <c r="E135" s="3">
        <v>4</v>
      </c>
    </row>
    <row r="136" spans="4:5" x14ac:dyDescent="0.3">
      <c r="D136" s="7">
        <v>1.8</v>
      </c>
      <c r="E136" s="3">
        <v>7</v>
      </c>
    </row>
    <row r="137" spans="4:5" x14ac:dyDescent="0.3">
      <c r="D137" s="7">
        <v>3.3</v>
      </c>
      <c r="E137" s="3">
        <v>1</v>
      </c>
    </row>
    <row r="138" spans="4:5" x14ac:dyDescent="0.3">
      <c r="D138" s="7">
        <v>5.8</v>
      </c>
      <c r="E138" s="3">
        <v>3</v>
      </c>
    </row>
    <row r="139" spans="4:5" x14ac:dyDescent="0.3">
      <c r="D139" s="7">
        <v>7.9</v>
      </c>
      <c r="E139" s="3">
        <v>4</v>
      </c>
    </row>
    <row r="140" spans="4:5" x14ac:dyDescent="0.3">
      <c r="D140" s="7">
        <v>5.9</v>
      </c>
      <c r="E140" s="3">
        <v>8</v>
      </c>
    </row>
    <row r="141" spans="4:5" x14ac:dyDescent="0.3">
      <c r="D141" s="7">
        <v>4.3</v>
      </c>
      <c r="E141" s="3">
        <v>1</v>
      </c>
    </row>
    <row r="142" spans="4:5" x14ac:dyDescent="0.3">
      <c r="D142" s="7">
        <v>4.2</v>
      </c>
      <c r="E142" s="3">
        <v>9</v>
      </c>
    </row>
    <row r="143" spans="4:5" x14ac:dyDescent="0.3">
      <c r="D143" s="7">
        <v>3.4</v>
      </c>
      <c r="E143" s="3">
        <v>7</v>
      </c>
    </row>
    <row r="144" spans="4:5" x14ac:dyDescent="0.3">
      <c r="D144" s="7">
        <v>1.4</v>
      </c>
      <c r="E144" s="3">
        <v>7</v>
      </c>
    </row>
    <row r="145" spans="4:5" x14ac:dyDescent="0.3">
      <c r="D145" s="7">
        <v>4.7</v>
      </c>
      <c r="E145" s="3">
        <v>6</v>
      </c>
    </row>
    <row r="146" spans="4:5" x14ac:dyDescent="0.3">
      <c r="D146" s="7">
        <v>6.6</v>
      </c>
      <c r="E146" s="3">
        <v>1</v>
      </c>
    </row>
    <row r="147" spans="4:5" x14ac:dyDescent="0.3">
      <c r="D147" s="7">
        <v>6.5</v>
      </c>
      <c r="E147" s="3">
        <v>9</v>
      </c>
    </row>
    <row r="148" spans="4:5" x14ac:dyDescent="0.3">
      <c r="D148" s="7">
        <v>8</v>
      </c>
      <c r="E148" s="3">
        <v>2</v>
      </c>
    </row>
    <row r="149" spans="4:5" x14ac:dyDescent="0.3">
      <c r="D149" s="7">
        <v>6.6</v>
      </c>
      <c r="E149" s="3">
        <v>9</v>
      </c>
    </row>
    <row r="150" spans="4:5" x14ac:dyDescent="0.3">
      <c r="D150" s="7">
        <v>6.3</v>
      </c>
      <c r="E150" s="3">
        <v>1</v>
      </c>
    </row>
    <row r="151" spans="4:5" x14ac:dyDescent="0.3">
      <c r="D151" s="7">
        <v>2</v>
      </c>
      <c r="E151" s="3">
        <v>6</v>
      </c>
    </row>
    <row r="152" spans="4:5" x14ac:dyDescent="0.3">
      <c r="D152" s="7">
        <v>4.8</v>
      </c>
      <c r="E152" s="3">
        <v>8</v>
      </c>
    </row>
    <row r="153" spans="4:5" x14ac:dyDescent="0.3">
      <c r="D153" s="7">
        <v>5.5</v>
      </c>
      <c r="E153" s="3">
        <v>5</v>
      </c>
    </row>
    <row r="154" spans="4:5" x14ac:dyDescent="0.3">
      <c r="D154" s="7">
        <v>7</v>
      </c>
      <c r="E154" s="3">
        <v>6</v>
      </c>
    </row>
    <row r="155" spans="4:5" x14ac:dyDescent="0.3">
      <c r="D155" s="7">
        <v>6.2</v>
      </c>
      <c r="E155" s="3">
        <v>4</v>
      </c>
    </row>
    <row r="156" spans="4:5" x14ac:dyDescent="0.3">
      <c r="D156" s="7">
        <v>4.9000000000000004</v>
      </c>
      <c r="E156" s="3">
        <v>6</v>
      </c>
    </row>
    <row r="157" spans="4:5" x14ac:dyDescent="0.3">
      <c r="D157" s="7">
        <v>3.1</v>
      </c>
      <c r="E157" s="3">
        <v>9</v>
      </c>
    </row>
    <row r="158" spans="4:5" x14ac:dyDescent="0.3">
      <c r="D158" s="7">
        <v>3.8</v>
      </c>
      <c r="E158" s="3">
        <v>7</v>
      </c>
    </row>
    <row r="159" spans="4:5" x14ac:dyDescent="0.3">
      <c r="D159" s="7">
        <v>4.8</v>
      </c>
      <c r="E159" s="3">
        <v>5</v>
      </c>
    </row>
    <row r="160" spans="4:5" x14ac:dyDescent="0.3">
      <c r="D160" s="7">
        <v>5.6</v>
      </c>
      <c r="E160" s="3">
        <v>9</v>
      </c>
    </row>
    <row r="161" spans="4:5" x14ac:dyDescent="0.3">
      <c r="D161" s="7">
        <v>3</v>
      </c>
      <c r="E161" s="3">
        <v>1</v>
      </c>
    </row>
    <row r="162" spans="4:5" x14ac:dyDescent="0.3">
      <c r="D162" s="7">
        <v>5.4</v>
      </c>
      <c r="E162" s="3">
        <v>9</v>
      </c>
    </row>
    <row r="163" spans="4:5" x14ac:dyDescent="0.3">
      <c r="D163" s="7">
        <v>5</v>
      </c>
      <c r="E163" s="3">
        <v>6</v>
      </c>
    </row>
    <row r="164" spans="4:5" x14ac:dyDescent="0.3">
      <c r="D164" s="7">
        <v>5.9</v>
      </c>
      <c r="E164" s="3">
        <v>3</v>
      </c>
    </row>
    <row r="165" spans="4:5" x14ac:dyDescent="0.3">
      <c r="D165" s="7">
        <v>1.6</v>
      </c>
      <c r="E165" s="3">
        <v>2</v>
      </c>
    </row>
    <row r="166" spans="4:5" x14ac:dyDescent="0.3">
      <c r="D166" s="7">
        <v>4.9000000000000004</v>
      </c>
      <c r="E166" s="3">
        <v>7</v>
      </c>
    </row>
    <row r="167" spans="4:5" x14ac:dyDescent="0.3">
      <c r="D167" s="7">
        <v>4.4000000000000004</v>
      </c>
      <c r="E167" s="3">
        <v>8</v>
      </c>
    </row>
    <row r="168" spans="4:5" x14ac:dyDescent="0.3">
      <c r="D168" s="7">
        <v>1.7</v>
      </c>
      <c r="E168" s="3">
        <v>4</v>
      </c>
    </row>
    <row r="169" spans="4:5" x14ac:dyDescent="0.3">
      <c r="D169" s="7">
        <v>5.0999999999999996</v>
      </c>
      <c r="E169" s="3">
        <v>9</v>
      </c>
    </row>
    <row r="170" spans="4:5" x14ac:dyDescent="0.3">
      <c r="D170" s="7">
        <v>3.3</v>
      </c>
      <c r="E170" s="3">
        <v>4</v>
      </c>
    </row>
    <row r="171" spans="4:5" x14ac:dyDescent="0.3">
      <c r="D171" s="7">
        <v>4.3</v>
      </c>
      <c r="E171" s="3">
        <v>5</v>
      </c>
    </row>
    <row r="172" spans="4:5" x14ac:dyDescent="0.3">
      <c r="D172" s="7">
        <v>1.9</v>
      </c>
      <c r="E172" s="3">
        <v>2</v>
      </c>
    </row>
    <row r="173" spans="4:5" x14ac:dyDescent="0.3">
      <c r="D173" s="7">
        <v>6.9</v>
      </c>
      <c r="E173" s="3">
        <v>1</v>
      </c>
    </row>
    <row r="174" spans="4:5" x14ac:dyDescent="0.3">
      <c r="D174" s="7">
        <v>2.8</v>
      </c>
      <c r="E174" s="3">
        <v>7</v>
      </c>
    </row>
    <row r="175" spans="4:5" x14ac:dyDescent="0.3">
      <c r="D175" s="7">
        <v>7.9</v>
      </c>
      <c r="E175" s="3">
        <v>3</v>
      </c>
    </row>
    <row r="176" spans="4:5" x14ac:dyDescent="0.3">
      <c r="D176" s="7">
        <v>4.2</v>
      </c>
      <c r="E176" s="3">
        <v>9</v>
      </c>
    </row>
    <row r="177" spans="4:5" x14ac:dyDescent="0.3">
      <c r="D177" s="7">
        <v>3.5</v>
      </c>
      <c r="E177" s="3">
        <v>2</v>
      </c>
    </row>
    <row r="178" spans="4:5" x14ac:dyDescent="0.3">
      <c r="D178" s="7">
        <v>2.1</v>
      </c>
      <c r="E178" s="3">
        <v>1</v>
      </c>
    </row>
    <row r="179" spans="4:5" x14ac:dyDescent="0.3">
      <c r="D179" s="7">
        <v>4.8</v>
      </c>
      <c r="E179" s="3">
        <v>2</v>
      </c>
    </row>
    <row r="180" spans="4:5" x14ac:dyDescent="0.3">
      <c r="D180" s="7">
        <v>5.5</v>
      </c>
      <c r="E180" s="3">
        <v>9</v>
      </c>
    </row>
    <row r="181" spans="4:5" x14ac:dyDescent="0.3">
      <c r="D181" s="7">
        <v>1.7</v>
      </c>
      <c r="E181" s="3">
        <v>5</v>
      </c>
    </row>
    <row r="182" spans="4:5" x14ac:dyDescent="0.3">
      <c r="D182" s="7">
        <v>4.7</v>
      </c>
      <c r="E182" s="3">
        <v>2</v>
      </c>
    </row>
    <row r="183" spans="4:5" x14ac:dyDescent="0.3">
      <c r="D183" s="7">
        <v>6.6</v>
      </c>
      <c r="E183" s="3">
        <v>9</v>
      </c>
    </row>
    <row r="184" spans="4:5" x14ac:dyDescent="0.3">
      <c r="D184" s="7">
        <v>5</v>
      </c>
      <c r="E184" s="3">
        <v>6</v>
      </c>
    </row>
    <row r="185" spans="4:5" x14ac:dyDescent="0.3">
      <c r="D185" s="7">
        <v>5.8</v>
      </c>
      <c r="E185" s="3">
        <v>8</v>
      </c>
    </row>
    <row r="186" spans="4:5" x14ac:dyDescent="0.3">
      <c r="D186" s="7">
        <v>4.8</v>
      </c>
      <c r="E186" s="3">
        <v>6</v>
      </c>
    </row>
    <row r="187" spans="4:5" x14ac:dyDescent="0.3">
      <c r="D187" s="7">
        <v>4.4000000000000004</v>
      </c>
      <c r="E187" s="3">
        <v>9</v>
      </c>
    </row>
    <row r="188" spans="4:5" x14ac:dyDescent="0.3">
      <c r="D188" s="7">
        <v>3.1</v>
      </c>
      <c r="E188" s="3">
        <v>5</v>
      </c>
    </row>
    <row r="189" spans="4:5" x14ac:dyDescent="0.3">
      <c r="D189" s="7">
        <v>2.7</v>
      </c>
      <c r="E189" s="3">
        <v>1</v>
      </c>
    </row>
    <row r="190" spans="4:5" x14ac:dyDescent="0.3">
      <c r="D190" s="7">
        <v>4.9000000000000004</v>
      </c>
      <c r="E190" s="3">
        <v>3</v>
      </c>
    </row>
    <row r="191" spans="4:5" x14ac:dyDescent="0.3">
      <c r="D191" s="7">
        <v>2.1</v>
      </c>
      <c r="E191" s="3">
        <v>5</v>
      </c>
    </row>
    <row r="192" spans="4:5" x14ac:dyDescent="0.3">
      <c r="D192" s="7">
        <v>7.6</v>
      </c>
      <c r="E192" s="3">
        <v>4</v>
      </c>
    </row>
    <row r="193" spans="4:5" x14ac:dyDescent="0.3">
      <c r="D193" s="7">
        <v>7.9</v>
      </c>
      <c r="E193" s="3">
        <v>2</v>
      </c>
    </row>
    <row r="194" spans="4:5" x14ac:dyDescent="0.3">
      <c r="D194" s="7">
        <v>6.7</v>
      </c>
      <c r="E194" s="3">
        <v>5</v>
      </c>
    </row>
    <row r="195" spans="4:5" x14ac:dyDescent="0.3">
      <c r="D195" s="7">
        <v>7.8</v>
      </c>
      <c r="E195" s="3">
        <v>2</v>
      </c>
    </row>
    <row r="196" spans="4:5" x14ac:dyDescent="0.3">
      <c r="D196" s="7">
        <v>3.1</v>
      </c>
      <c r="E196" s="3">
        <v>4</v>
      </c>
    </row>
    <row r="197" spans="4:5" x14ac:dyDescent="0.3">
      <c r="D197" s="7">
        <v>5.6</v>
      </c>
      <c r="E197" s="3">
        <v>10</v>
      </c>
    </row>
    <row r="198" spans="4:5" x14ac:dyDescent="0.3">
      <c r="D198" s="7">
        <v>7.8</v>
      </c>
      <c r="E198" s="3">
        <v>7</v>
      </c>
    </row>
    <row r="199" spans="4:5" x14ac:dyDescent="0.3">
      <c r="D199" s="7">
        <v>1.2</v>
      </c>
      <c r="E199" s="3">
        <v>6</v>
      </c>
    </row>
    <row r="200" spans="4:5" x14ac:dyDescent="0.3">
      <c r="D200" s="7">
        <v>7</v>
      </c>
      <c r="E200" s="3">
        <v>7</v>
      </c>
    </row>
    <row r="201" spans="4:5" x14ac:dyDescent="0.3">
      <c r="D201" s="7">
        <v>2.2000000000000002</v>
      </c>
      <c r="E201" s="3">
        <v>2</v>
      </c>
    </row>
    <row r="202" spans="4:5" x14ac:dyDescent="0.3">
      <c r="D202" s="7">
        <v>5.6</v>
      </c>
      <c r="E202" s="3">
        <v>2</v>
      </c>
    </row>
    <row r="203" spans="4:5" x14ac:dyDescent="0.3">
      <c r="D203" s="7">
        <v>4</v>
      </c>
      <c r="E203" s="3">
        <v>10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1"/>
  <sheetViews>
    <sheetView workbookViewId="0"/>
  </sheetViews>
  <sheetFormatPr baseColWidth="10" defaultColWidth="8.88671875" defaultRowHeight="14.4" x14ac:dyDescent="0.3"/>
  <cols>
    <col min="1" max="2" width="22" customWidth="1"/>
  </cols>
  <sheetData>
    <row r="1" spans="1:2" x14ac:dyDescent="0.3">
      <c r="A1" s="28" t="s">
        <v>166</v>
      </c>
      <c r="B1" s="28" t="s">
        <v>9</v>
      </c>
    </row>
    <row r="2" spans="1:2" x14ac:dyDescent="0.3">
      <c r="A2" s="7">
        <v>5</v>
      </c>
      <c r="B2" s="7">
        <v>7</v>
      </c>
    </row>
    <row r="3" spans="1:2" x14ac:dyDescent="0.3">
      <c r="A3" s="7">
        <v>1</v>
      </c>
      <c r="B3" s="7">
        <v>8</v>
      </c>
    </row>
    <row r="4" spans="1:2" x14ac:dyDescent="0.3">
      <c r="A4" s="7">
        <v>3</v>
      </c>
      <c r="B4" s="7">
        <v>8</v>
      </c>
    </row>
    <row r="5" spans="1:2" x14ac:dyDescent="0.3">
      <c r="A5" s="7">
        <v>3</v>
      </c>
      <c r="B5" s="7">
        <v>8</v>
      </c>
    </row>
    <row r="6" spans="1:2" x14ac:dyDescent="0.3">
      <c r="A6" s="7">
        <v>6</v>
      </c>
      <c r="B6" s="7">
        <v>7</v>
      </c>
    </row>
    <row r="7" spans="1:2" x14ac:dyDescent="0.3">
      <c r="A7" s="7">
        <v>5</v>
      </c>
      <c r="B7" s="7">
        <v>7</v>
      </c>
    </row>
    <row r="8" spans="1:2" x14ac:dyDescent="0.3">
      <c r="A8" s="7">
        <v>7</v>
      </c>
      <c r="B8" s="7">
        <v>7</v>
      </c>
    </row>
    <row r="9" spans="1:2" x14ac:dyDescent="0.3">
      <c r="A9" s="7">
        <v>2</v>
      </c>
      <c r="B9" s="7">
        <v>8</v>
      </c>
    </row>
    <row r="10" spans="1:2" x14ac:dyDescent="0.3">
      <c r="A10" s="7">
        <v>4</v>
      </c>
      <c r="B10" s="7">
        <v>7</v>
      </c>
    </row>
    <row r="11" spans="1:2" x14ac:dyDescent="0.3">
      <c r="A11" s="7">
        <v>1</v>
      </c>
      <c r="B11" s="7">
        <v>8</v>
      </c>
    </row>
    <row r="12" spans="1:2" x14ac:dyDescent="0.3">
      <c r="A12" s="7">
        <v>3</v>
      </c>
      <c r="B12" s="7">
        <v>7</v>
      </c>
    </row>
    <row r="13" spans="1:2" x14ac:dyDescent="0.3">
      <c r="A13" s="7">
        <v>4</v>
      </c>
      <c r="B13" s="7">
        <v>7</v>
      </c>
    </row>
    <row r="14" spans="1:2" x14ac:dyDescent="0.3">
      <c r="A14" s="7">
        <v>1</v>
      </c>
      <c r="B14" s="7">
        <v>8</v>
      </c>
    </row>
    <row r="15" spans="1:2" x14ac:dyDescent="0.3">
      <c r="A15" s="7">
        <v>3</v>
      </c>
      <c r="B15" s="7">
        <v>6</v>
      </c>
    </row>
    <row r="16" spans="1:2" x14ac:dyDescent="0.3">
      <c r="A16" s="7">
        <v>5</v>
      </c>
      <c r="B16" s="7">
        <v>6</v>
      </c>
    </row>
    <row r="17" spans="1:2" x14ac:dyDescent="0.3">
      <c r="A17" s="7">
        <v>4</v>
      </c>
      <c r="B17" s="7">
        <v>7</v>
      </c>
    </row>
    <row r="18" spans="1:2" x14ac:dyDescent="0.3">
      <c r="A18" s="7">
        <v>3</v>
      </c>
      <c r="B18" s="7">
        <v>7</v>
      </c>
    </row>
    <row r="19" spans="1:2" x14ac:dyDescent="0.3">
      <c r="A19" s="7">
        <v>5</v>
      </c>
      <c r="B19" s="7">
        <v>7</v>
      </c>
    </row>
    <row r="20" spans="1:2" x14ac:dyDescent="0.3">
      <c r="A20" s="7">
        <v>6</v>
      </c>
      <c r="B20" s="7">
        <v>6</v>
      </c>
    </row>
    <row r="21" spans="1:2" x14ac:dyDescent="0.3">
      <c r="A21" s="7">
        <v>0</v>
      </c>
      <c r="B21" s="7">
        <v>7</v>
      </c>
    </row>
    <row r="22" spans="1:2" x14ac:dyDescent="0.3">
      <c r="A22" s="7">
        <v>6</v>
      </c>
      <c r="B22" s="7">
        <v>8</v>
      </c>
    </row>
    <row r="23" spans="1:2" x14ac:dyDescent="0.3">
      <c r="A23" s="7">
        <v>5</v>
      </c>
      <c r="B23" s="7">
        <v>7</v>
      </c>
    </row>
    <row r="24" spans="1:2" x14ac:dyDescent="0.3">
      <c r="A24" s="7">
        <v>3</v>
      </c>
      <c r="B24" s="7">
        <v>7</v>
      </c>
    </row>
    <row r="25" spans="1:2" x14ac:dyDescent="0.3">
      <c r="A25" s="7">
        <v>2</v>
      </c>
      <c r="B25" s="7">
        <v>7</v>
      </c>
    </row>
    <row r="26" spans="1:2" x14ac:dyDescent="0.3">
      <c r="A26" s="7">
        <v>9</v>
      </c>
      <c r="B26" s="7">
        <v>6</v>
      </c>
    </row>
    <row r="27" spans="1:2" x14ac:dyDescent="0.3">
      <c r="A27" s="7">
        <v>3</v>
      </c>
      <c r="B27" s="7">
        <v>7</v>
      </c>
    </row>
    <row r="28" spans="1:2" x14ac:dyDescent="0.3">
      <c r="A28" s="7">
        <v>2</v>
      </c>
      <c r="B28" s="7">
        <v>7</v>
      </c>
    </row>
    <row r="29" spans="1:2" x14ac:dyDescent="0.3">
      <c r="A29" s="7">
        <v>2</v>
      </c>
      <c r="B29" s="7">
        <v>8</v>
      </c>
    </row>
    <row r="30" spans="1:2" x14ac:dyDescent="0.3">
      <c r="A30" s="7">
        <v>7</v>
      </c>
      <c r="B30" s="7">
        <v>6</v>
      </c>
    </row>
    <row r="31" spans="1:2" x14ac:dyDescent="0.3">
      <c r="A31" s="7">
        <v>5</v>
      </c>
      <c r="B31" s="7">
        <v>7</v>
      </c>
    </row>
    <row r="32" spans="1:2" x14ac:dyDescent="0.3">
      <c r="A32" s="7">
        <v>6</v>
      </c>
      <c r="B32" s="7">
        <v>6</v>
      </c>
    </row>
    <row r="33" spans="1:2" x14ac:dyDescent="0.3">
      <c r="A33" s="7">
        <v>5</v>
      </c>
      <c r="B33" s="7">
        <v>8</v>
      </c>
    </row>
    <row r="34" spans="1:2" x14ac:dyDescent="0.3">
      <c r="A34" s="7">
        <v>4</v>
      </c>
      <c r="B34" s="7">
        <v>7</v>
      </c>
    </row>
    <row r="35" spans="1:2" x14ac:dyDescent="0.3">
      <c r="A35" s="7">
        <v>9</v>
      </c>
      <c r="B35" s="7">
        <v>5</v>
      </c>
    </row>
    <row r="36" spans="1:2" x14ac:dyDescent="0.3">
      <c r="A36" s="7">
        <v>4</v>
      </c>
      <c r="B36" s="7">
        <v>8</v>
      </c>
    </row>
    <row r="37" spans="1:2" x14ac:dyDescent="0.3">
      <c r="A37" s="7">
        <v>4</v>
      </c>
      <c r="B37" s="7">
        <v>6</v>
      </c>
    </row>
    <row r="38" spans="1:2" x14ac:dyDescent="0.3">
      <c r="A38" s="7">
        <v>6</v>
      </c>
      <c r="B38" s="7">
        <v>7</v>
      </c>
    </row>
    <row r="39" spans="1:2" x14ac:dyDescent="0.3">
      <c r="A39" s="7">
        <v>5</v>
      </c>
      <c r="B39" s="7">
        <v>6</v>
      </c>
    </row>
    <row r="40" spans="1:2" x14ac:dyDescent="0.3">
      <c r="A40" s="7">
        <v>7</v>
      </c>
      <c r="B40" s="7">
        <v>6</v>
      </c>
    </row>
    <row r="41" spans="1:2" x14ac:dyDescent="0.3">
      <c r="A41" s="7">
        <v>5</v>
      </c>
      <c r="B41" s="7">
        <v>7</v>
      </c>
    </row>
    <row r="42" spans="1:2" x14ac:dyDescent="0.3">
      <c r="A42" s="7">
        <v>5</v>
      </c>
      <c r="B42" s="7">
        <v>7</v>
      </c>
    </row>
    <row r="43" spans="1:2" x14ac:dyDescent="0.3">
      <c r="A43" s="7">
        <v>1</v>
      </c>
      <c r="B43" s="7">
        <v>8</v>
      </c>
    </row>
    <row r="44" spans="1:2" x14ac:dyDescent="0.3">
      <c r="A44" s="7">
        <v>3</v>
      </c>
      <c r="B44" s="7">
        <v>7</v>
      </c>
    </row>
    <row r="45" spans="1:2" x14ac:dyDescent="0.3">
      <c r="A45" s="7">
        <v>3</v>
      </c>
      <c r="B45" s="7">
        <v>7</v>
      </c>
    </row>
    <row r="46" spans="1:2" x14ac:dyDescent="0.3">
      <c r="A46" s="7">
        <v>2</v>
      </c>
      <c r="B46" s="7">
        <v>7</v>
      </c>
    </row>
    <row r="47" spans="1:2" x14ac:dyDescent="0.3">
      <c r="A47" s="7">
        <v>3</v>
      </c>
      <c r="B47" s="7">
        <v>7</v>
      </c>
    </row>
    <row r="48" spans="1:2" x14ac:dyDescent="0.3">
      <c r="A48" s="7">
        <v>2</v>
      </c>
      <c r="B48" s="7">
        <v>7</v>
      </c>
    </row>
    <row r="49" spans="1:2" x14ac:dyDescent="0.3">
      <c r="A49" s="7">
        <v>3</v>
      </c>
      <c r="B49" s="7">
        <v>8</v>
      </c>
    </row>
    <row r="50" spans="1:2" x14ac:dyDescent="0.3">
      <c r="A50" s="7">
        <v>5</v>
      </c>
      <c r="B50" s="7">
        <v>7</v>
      </c>
    </row>
    <row r="51" spans="1:2" x14ac:dyDescent="0.3">
      <c r="A51" s="7">
        <v>3</v>
      </c>
      <c r="B51" s="7">
        <v>6</v>
      </c>
    </row>
    <row r="52" spans="1:2" x14ac:dyDescent="0.3">
      <c r="A52" s="7">
        <v>4</v>
      </c>
      <c r="B52" s="7">
        <v>7</v>
      </c>
    </row>
    <row r="53" spans="1:2" x14ac:dyDescent="0.3">
      <c r="A53" s="7">
        <v>3</v>
      </c>
      <c r="B53" s="7">
        <v>7</v>
      </c>
    </row>
    <row r="54" spans="1:2" x14ac:dyDescent="0.3">
      <c r="A54" s="7">
        <v>3</v>
      </c>
      <c r="B54" s="7">
        <v>7</v>
      </c>
    </row>
    <row r="55" spans="1:2" x14ac:dyDescent="0.3">
      <c r="A55" s="7">
        <v>8</v>
      </c>
      <c r="B55" s="7">
        <v>7</v>
      </c>
    </row>
    <row r="56" spans="1:2" x14ac:dyDescent="0.3">
      <c r="A56" s="7">
        <v>5</v>
      </c>
      <c r="B56" s="7">
        <v>8</v>
      </c>
    </row>
    <row r="57" spans="1:2" x14ac:dyDescent="0.3">
      <c r="A57" s="7">
        <v>5</v>
      </c>
      <c r="B57" s="7">
        <v>8</v>
      </c>
    </row>
    <row r="58" spans="1:2" x14ac:dyDescent="0.3">
      <c r="A58" s="7">
        <v>2</v>
      </c>
      <c r="B58" s="7">
        <v>7</v>
      </c>
    </row>
    <row r="59" spans="1:2" x14ac:dyDescent="0.3">
      <c r="A59" s="7">
        <v>5</v>
      </c>
      <c r="B59" s="7">
        <v>7</v>
      </c>
    </row>
    <row r="60" spans="1:2" x14ac:dyDescent="0.3">
      <c r="A60" s="7">
        <v>2</v>
      </c>
      <c r="B60" s="7">
        <v>8</v>
      </c>
    </row>
    <row r="61" spans="1:2" x14ac:dyDescent="0.3">
      <c r="A61" s="7">
        <v>4</v>
      </c>
      <c r="B61" s="7">
        <v>8</v>
      </c>
    </row>
    <row r="62" spans="1:2" x14ac:dyDescent="0.3">
      <c r="A62" s="7">
        <v>10</v>
      </c>
      <c r="B62" s="7">
        <v>6</v>
      </c>
    </row>
    <row r="63" spans="1:2" x14ac:dyDescent="0.3">
      <c r="A63" s="7">
        <v>5</v>
      </c>
      <c r="B63" s="7">
        <v>7</v>
      </c>
    </row>
    <row r="64" spans="1:2" x14ac:dyDescent="0.3">
      <c r="A64" s="7">
        <v>4</v>
      </c>
      <c r="B64" s="7">
        <v>7</v>
      </c>
    </row>
    <row r="65" spans="1:2" x14ac:dyDescent="0.3">
      <c r="A65" s="7">
        <v>5</v>
      </c>
      <c r="B65" s="7">
        <v>6</v>
      </c>
    </row>
    <row r="66" spans="1:2" x14ac:dyDescent="0.3">
      <c r="A66" s="7">
        <v>7</v>
      </c>
      <c r="B66" s="7">
        <v>7</v>
      </c>
    </row>
    <row r="67" spans="1:2" x14ac:dyDescent="0.3">
      <c r="A67" s="7">
        <v>6</v>
      </c>
      <c r="B67" s="7">
        <v>8</v>
      </c>
    </row>
    <row r="68" spans="1:2" x14ac:dyDescent="0.3">
      <c r="A68" s="7">
        <v>3</v>
      </c>
      <c r="B68" s="7">
        <v>7</v>
      </c>
    </row>
    <row r="69" spans="1:2" x14ac:dyDescent="0.3">
      <c r="A69" s="7">
        <v>1</v>
      </c>
      <c r="B69" s="7">
        <v>8</v>
      </c>
    </row>
    <row r="70" spans="1:2" x14ac:dyDescent="0.3">
      <c r="A70" s="7">
        <v>3</v>
      </c>
      <c r="B70" s="7">
        <v>8</v>
      </c>
    </row>
    <row r="71" spans="1:2" x14ac:dyDescent="0.3">
      <c r="A71" s="7">
        <v>3</v>
      </c>
      <c r="B71" s="7">
        <v>7</v>
      </c>
    </row>
    <row r="72" spans="1:2" x14ac:dyDescent="0.3">
      <c r="A72" s="7">
        <v>3</v>
      </c>
      <c r="B72" s="7">
        <v>8</v>
      </c>
    </row>
    <row r="73" spans="1:2" x14ac:dyDescent="0.3">
      <c r="A73" s="7">
        <v>8</v>
      </c>
      <c r="B73" s="7">
        <v>7</v>
      </c>
    </row>
    <row r="74" spans="1:2" x14ac:dyDescent="0.3">
      <c r="A74" s="7">
        <v>7</v>
      </c>
      <c r="B74" s="7">
        <v>6</v>
      </c>
    </row>
    <row r="75" spans="1:2" x14ac:dyDescent="0.3">
      <c r="A75" s="7">
        <v>3</v>
      </c>
      <c r="B75" s="7">
        <v>8</v>
      </c>
    </row>
    <row r="76" spans="1:2" x14ac:dyDescent="0.3">
      <c r="A76" s="7">
        <v>5</v>
      </c>
      <c r="B76" s="7">
        <v>5</v>
      </c>
    </row>
    <row r="77" spans="1:2" x14ac:dyDescent="0.3">
      <c r="A77" s="7">
        <v>4</v>
      </c>
      <c r="B77" s="7">
        <v>8</v>
      </c>
    </row>
    <row r="78" spans="1:2" x14ac:dyDescent="0.3">
      <c r="A78" s="7">
        <v>8</v>
      </c>
      <c r="B78" s="7">
        <v>6</v>
      </c>
    </row>
    <row r="79" spans="1:2" x14ac:dyDescent="0.3">
      <c r="A79" s="7">
        <v>4</v>
      </c>
      <c r="B79" s="7">
        <v>7</v>
      </c>
    </row>
    <row r="80" spans="1:2" x14ac:dyDescent="0.3">
      <c r="A80" s="7">
        <v>3</v>
      </c>
      <c r="B80" s="7">
        <v>7</v>
      </c>
    </row>
    <row r="81" spans="1:2" x14ac:dyDescent="0.3">
      <c r="A81" s="7">
        <v>3</v>
      </c>
      <c r="B81" s="7">
        <v>6</v>
      </c>
    </row>
    <row r="82" spans="1:2" x14ac:dyDescent="0.3">
      <c r="A82" s="7">
        <v>4</v>
      </c>
      <c r="B82" s="7">
        <v>7</v>
      </c>
    </row>
    <row r="83" spans="1:2" x14ac:dyDescent="0.3">
      <c r="A83" s="7">
        <v>3</v>
      </c>
      <c r="B83" s="7">
        <v>8</v>
      </c>
    </row>
    <row r="84" spans="1:2" x14ac:dyDescent="0.3">
      <c r="A84" s="7">
        <v>5</v>
      </c>
      <c r="B84" s="7">
        <v>8</v>
      </c>
    </row>
    <row r="85" spans="1:2" x14ac:dyDescent="0.3">
      <c r="A85" s="7">
        <v>7</v>
      </c>
      <c r="B85" s="7">
        <v>6</v>
      </c>
    </row>
    <row r="86" spans="1:2" x14ac:dyDescent="0.3">
      <c r="A86" s="7">
        <v>4</v>
      </c>
      <c r="B86" s="7">
        <v>7</v>
      </c>
    </row>
    <row r="87" spans="1:2" x14ac:dyDescent="0.3">
      <c r="A87" s="7">
        <v>3</v>
      </c>
      <c r="B87" s="7">
        <v>7</v>
      </c>
    </row>
    <row r="88" spans="1:2" x14ac:dyDescent="0.3">
      <c r="A88" s="7">
        <v>12</v>
      </c>
      <c r="B88" s="7">
        <v>6</v>
      </c>
    </row>
    <row r="89" spans="1:2" x14ac:dyDescent="0.3">
      <c r="A89" s="7">
        <v>4</v>
      </c>
      <c r="B89" s="7">
        <v>7</v>
      </c>
    </row>
    <row r="90" spans="1:2" x14ac:dyDescent="0.3">
      <c r="A90" s="7">
        <v>2</v>
      </c>
      <c r="B90" s="7">
        <v>7</v>
      </c>
    </row>
    <row r="91" spans="1:2" x14ac:dyDescent="0.3">
      <c r="A91" s="7">
        <v>1</v>
      </c>
      <c r="B91" s="7">
        <v>8</v>
      </c>
    </row>
    <row r="92" spans="1:2" x14ac:dyDescent="0.3">
      <c r="A92" s="7">
        <v>2</v>
      </c>
      <c r="B92" s="7">
        <v>8</v>
      </c>
    </row>
    <row r="93" spans="1:2" x14ac:dyDescent="0.3">
      <c r="A93" s="7">
        <v>5</v>
      </c>
      <c r="B93" s="7">
        <v>8</v>
      </c>
    </row>
    <row r="94" spans="1:2" x14ac:dyDescent="0.3">
      <c r="A94" s="7">
        <v>6</v>
      </c>
      <c r="B94" s="7">
        <v>6</v>
      </c>
    </row>
    <row r="95" spans="1:2" x14ac:dyDescent="0.3">
      <c r="A95" s="7">
        <v>4</v>
      </c>
      <c r="B95" s="7">
        <v>7</v>
      </c>
    </row>
    <row r="96" spans="1:2" x14ac:dyDescent="0.3">
      <c r="A96" s="7">
        <v>1</v>
      </c>
      <c r="B96" s="7">
        <v>8</v>
      </c>
    </row>
    <row r="97" spans="1:2" x14ac:dyDescent="0.3">
      <c r="A97" s="7">
        <v>4</v>
      </c>
      <c r="B97" s="7">
        <v>6</v>
      </c>
    </row>
    <row r="98" spans="1:2" x14ac:dyDescent="0.3">
      <c r="A98" s="7">
        <v>11</v>
      </c>
      <c r="B98" s="7">
        <v>6</v>
      </c>
    </row>
    <row r="99" spans="1:2" x14ac:dyDescent="0.3">
      <c r="A99" s="7">
        <v>4</v>
      </c>
      <c r="B99" s="7">
        <v>7</v>
      </c>
    </row>
    <row r="100" spans="1:2" x14ac:dyDescent="0.3">
      <c r="A100" s="7">
        <v>9</v>
      </c>
      <c r="B100" s="7">
        <v>6</v>
      </c>
    </row>
    <row r="101" spans="1:2" x14ac:dyDescent="0.3">
      <c r="A101" s="7">
        <v>7</v>
      </c>
      <c r="B101" s="7">
        <v>6</v>
      </c>
    </row>
    <row r="102" spans="1:2" x14ac:dyDescent="0.3">
      <c r="A102" s="7">
        <v>0</v>
      </c>
      <c r="B102" s="7">
        <v>7</v>
      </c>
    </row>
    <row r="103" spans="1:2" x14ac:dyDescent="0.3">
      <c r="A103" s="7">
        <v>5</v>
      </c>
      <c r="B103" s="7">
        <v>7</v>
      </c>
    </row>
    <row r="104" spans="1:2" x14ac:dyDescent="0.3">
      <c r="A104" s="7">
        <v>5</v>
      </c>
      <c r="B104" s="7">
        <v>7</v>
      </c>
    </row>
    <row r="105" spans="1:2" x14ac:dyDescent="0.3">
      <c r="A105" s="7">
        <v>4</v>
      </c>
      <c r="B105" s="7">
        <v>7</v>
      </c>
    </row>
    <row r="106" spans="1:2" x14ac:dyDescent="0.3">
      <c r="A106" s="7">
        <v>3</v>
      </c>
      <c r="B106" s="7">
        <v>7</v>
      </c>
    </row>
    <row r="107" spans="1:2" x14ac:dyDescent="0.3">
      <c r="A107" s="7">
        <v>5</v>
      </c>
      <c r="B107" s="7">
        <v>7</v>
      </c>
    </row>
    <row r="108" spans="1:2" x14ac:dyDescent="0.3">
      <c r="A108" s="7">
        <v>2</v>
      </c>
      <c r="B108" s="7">
        <v>9</v>
      </c>
    </row>
    <row r="109" spans="1:2" x14ac:dyDescent="0.3">
      <c r="A109" s="7">
        <v>4</v>
      </c>
      <c r="B109" s="7">
        <v>7</v>
      </c>
    </row>
    <row r="110" spans="1:2" x14ac:dyDescent="0.3">
      <c r="A110" s="7">
        <v>4</v>
      </c>
      <c r="B110" s="7">
        <v>7</v>
      </c>
    </row>
    <row r="111" spans="1:2" x14ac:dyDescent="0.3">
      <c r="A111" s="7">
        <v>9</v>
      </c>
      <c r="B111" s="7">
        <v>6</v>
      </c>
    </row>
    <row r="112" spans="1:2" x14ac:dyDescent="0.3">
      <c r="A112" s="7">
        <v>7</v>
      </c>
      <c r="B112" s="7">
        <v>5</v>
      </c>
    </row>
    <row r="113" spans="1:2" x14ac:dyDescent="0.3">
      <c r="A113" s="7">
        <v>3</v>
      </c>
      <c r="B113" s="7">
        <v>7</v>
      </c>
    </row>
    <row r="114" spans="1:2" x14ac:dyDescent="0.3">
      <c r="A114" s="7">
        <v>4</v>
      </c>
      <c r="B114" s="7">
        <v>7</v>
      </c>
    </row>
    <row r="115" spans="1:2" x14ac:dyDescent="0.3">
      <c r="A115" s="7">
        <v>2</v>
      </c>
      <c r="B115" s="7">
        <v>9</v>
      </c>
    </row>
    <row r="116" spans="1:2" x14ac:dyDescent="0.3">
      <c r="A116" s="7">
        <v>8</v>
      </c>
      <c r="B116" s="7">
        <v>6</v>
      </c>
    </row>
    <row r="117" spans="1:2" x14ac:dyDescent="0.3">
      <c r="A117" s="7">
        <v>7</v>
      </c>
      <c r="B117" s="7">
        <v>7</v>
      </c>
    </row>
    <row r="118" spans="1:2" x14ac:dyDescent="0.3">
      <c r="A118" s="7">
        <v>3</v>
      </c>
      <c r="B118" s="7">
        <v>7</v>
      </c>
    </row>
    <row r="119" spans="1:2" x14ac:dyDescent="0.3">
      <c r="A119" s="7">
        <v>5</v>
      </c>
      <c r="B119" s="7">
        <v>6</v>
      </c>
    </row>
    <row r="120" spans="1:2" x14ac:dyDescent="0.3">
      <c r="A120" s="7">
        <v>5</v>
      </c>
      <c r="B120" s="7">
        <v>8</v>
      </c>
    </row>
    <row r="121" spans="1:2" x14ac:dyDescent="0.3">
      <c r="A121" s="7">
        <v>2</v>
      </c>
      <c r="B121" s="7">
        <v>8</v>
      </c>
    </row>
    <row r="122" spans="1:2" x14ac:dyDescent="0.3">
      <c r="A122" s="7">
        <v>6</v>
      </c>
      <c r="B122" s="7">
        <v>7</v>
      </c>
    </row>
    <row r="123" spans="1:2" x14ac:dyDescent="0.3">
      <c r="A123" s="7">
        <v>4</v>
      </c>
      <c r="B123" s="7">
        <v>7</v>
      </c>
    </row>
    <row r="124" spans="1:2" x14ac:dyDescent="0.3">
      <c r="A124" s="7">
        <v>6</v>
      </c>
      <c r="B124" s="7">
        <v>8</v>
      </c>
    </row>
    <row r="125" spans="1:2" x14ac:dyDescent="0.3">
      <c r="A125" s="7">
        <v>4</v>
      </c>
      <c r="B125" s="7">
        <v>6</v>
      </c>
    </row>
    <row r="126" spans="1:2" x14ac:dyDescent="0.3">
      <c r="A126" s="7">
        <v>0</v>
      </c>
      <c r="B126" s="7">
        <v>8</v>
      </c>
    </row>
    <row r="127" spans="1:2" x14ac:dyDescent="0.3">
      <c r="A127" s="7">
        <v>3</v>
      </c>
      <c r="B127" s="7">
        <v>9</v>
      </c>
    </row>
    <row r="128" spans="1:2" x14ac:dyDescent="0.3">
      <c r="A128" s="7">
        <v>0</v>
      </c>
      <c r="B128" s="7">
        <v>7</v>
      </c>
    </row>
    <row r="129" spans="1:2" x14ac:dyDescent="0.3">
      <c r="A129" s="7">
        <v>8</v>
      </c>
      <c r="B129" s="7">
        <v>6</v>
      </c>
    </row>
    <row r="130" spans="1:2" x14ac:dyDescent="0.3">
      <c r="A130" s="7">
        <v>7</v>
      </c>
      <c r="B130" s="7">
        <v>7</v>
      </c>
    </row>
    <row r="131" spans="1:2" x14ac:dyDescent="0.3">
      <c r="A131" s="7">
        <v>6</v>
      </c>
      <c r="B131" s="7">
        <v>6</v>
      </c>
    </row>
    <row r="132" spans="1:2" x14ac:dyDescent="0.3">
      <c r="A132" s="7">
        <v>3</v>
      </c>
      <c r="B132" s="7">
        <v>6</v>
      </c>
    </row>
    <row r="133" spans="1:2" x14ac:dyDescent="0.3">
      <c r="A133" s="7">
        <v>1</v>
      </c>
      <c r="B133" s="7">
        <v>8</v>
      </c>
    </row>
    <row r="134" spans="1:2" x14ac:dyDescent="0.3">
      <c r="A134" s="7">
        <v>7</v>
      </c>
      <c r="B134" s="7">
        <v>6</v>
      </c>
    </row>
    <row r="135" spans="1:2" x14ac:dyDescent="0.3">
      <c r="A135" s="7">
        <v>8</v>
      </c>
      <c r="B135" s="7">
        <v>7</v>
      </c>
    </row>
    <row r="136" spans="1:2" x14ac:dyDescent="0.3">
      <c r="A136" s="7">
        <v>2</v>
      </c>
      <c r="B136" s="7">
        <v>7</v>
      </c>
    </row>
    <row r="137" spans="1:2" x14ac:dyDescent="0.3">
      <c r="A137" s="7">
        <v>4</v>
      </c>
      <c r="B137" s="7">
        <v>8</v>
      </c>
    </row>
    <row r="138" spans="1:2" x14ac:dyDescent="0.3">
      <c r="A138" s="7">
        <v>1</v>
      </c>
      <c r="B138" s="7">
        <v>7</v>
      </c>
    </row>
    <row r="139" spans="1:2" x14ac:dyDescent="0.3">
      <c r="A139" s="7">
        <v>6</v>
      </c>
      <c r="B139" s="7">
        <v>7</v>
      </c>
    </row>
    <row r="140" spans="1:2" x14ac:dyDescent="0.3">
      <c r="A140" s="7">
        <v>6</v>
      </c>
      <c r="B140" s="7">
        <v>7</v>
      </c>
    </row>
    <row r="141" spans="1:2" x14ac:dyDescent="0.3">
      <c r="A141" s="7">
        <v>2</v>
      </c>
      <c r="B141" s="7">
        <v>7</v>
      </c>
    </row>
    <row r="142" spans="1:2" x14ac:dyDescent="0.3">
      <c r="A142" s="7">
        <v>4</v>
      </c>
      <c r="B142" s="7">
        <v>7</v>
      </c>
    </row>
    <row r="143" spans="1:2" x14ac:dyDescent="0.3">
      <c r="A143" s="7">
        <v>4</v>
      </c>
      <c r="B143" s="7">
        <v>8</v>
      </c>
    </row>
    <row r="144" spans="1:2" x14ac:dyDescent="0.3">
      <c r="A144" s="7">
        <v>3</v>
      </c>
      <c r="B144" s="7">
        <v>6</v>
      </c>
    </row>
    <row r="145" spans="1:2" x14ac:dyDescent="0.3">
      <c r="A145" s="7">
        <v>7</v>
      </c>
      <c r="B145" s="7">
        <v>7</v>
      </c>
    </row>
    <row r="146" spans="1:2" x14ac:dyDescent="0.3">
      <c r="A146" s="7">
        <v>4</v>
      </c>
      <c r="B146" s="7">
        <v>7</v>
      </c>
    </row>
    <row r="147" spans="1:2" x14ac:dyDescent="0.3">
      <c r="A147" s="7">
        <v>3</v>
      </c>
      <c r="B147" s="7">
        <v>8</v>
      </c>
    </row>
    <row r="148" spans="1:2" x14ac:dyDescent="0.3">
      <c r="A148" s="7">
        <v>4</v>
      </c>
      <c r="B148" s="7">
        <v>6</v>
      </c>
    </row>
    <row r="149" spans="1:2" x14ac:dyDescent="0.3">
      <c r="A149" s="7">
        <v>5</v>
      </c>
      <c r="B149" s="7">
        <v>6</v>
      </c>
    </row>
    <row r="150" spans="1:2" x14ac:dyDescent="0.3">
      <c r="A150" s="7">
        <v>3</v>
      </c>
      <c r="B150" s="7">
        <v>8</v>
      </c>
    </row>
    <row r="151" spans="1:2" x14ac:dyDescent="0.3">
      <c r="A151" s="7">
        <v>3</v>
      </c>
      <c r="B151" s="7">
        <v>8</v>
      </c>
    </row>
    <row r="152" spans="1:2" x14ac:dyDescent="0.3">
      <c r="A152" s="7">
        <v>11</v>
      </c>
      <c r="B152" s="7">
        <v>6</v>
      </c>
    </row>
    <row r="153" spans="1:2" x14ac:dyDescent="0.3">
      <c r="A153" s="7">
        <v>5</v>
      </c>
      <c r="B153" s="7">
        <v>7</v>
      </c>
    </row>
    <row r="154" spans="1:2" x14ac:dyDescent="0.3">
      <c r="A154" s="7">
        <v>4</v>
      </c>
      <c r="B154" s="7">
        <v>7</v>
      </c>
    </row>
    <row r="155" spans="1:2" x14ac:dyDescent="0.3">
      <c r="A155" s="7">
        <v>4</v>
      </c>
      <c r="B155" s="7">
        <v>7</v>
      </c>
    </row>
    <row r="156" spans="1:2" x14ac:dyDescent="0.3">
      <c r="A156" s="7">
        <v>2</v>
      </c>
      <c r="B156" s="7">
        <v>8</v>
      </c>
    </row>
    <row r="157" spans="1:2" x14ac:dyDescent="0.3">
      <c r="A157" s="7">
        <v>3</v>
      </c>
      <c r="B157" s="7">
        <v>7</v>
      </c>
    </row>
    <row r="158" spans="1:2" x14ac:dyDescent="0.3">
      <c r="A158" s="7">
        <v>3</v>
      </c>
      <c r="B158" s="7">
        <v>9</v>
      </c>
    </row>
    <row r="159" spans="1:2" x14ac:dyDescent="0.3">
      <c r="A159" s="7">
        <v>5</v>
      </c>
      <c r="B159" s="7">
        <v>7</v>
      </c>
    </row>
    <row r="160" spans="1:2" x14ac:dyDescent="0.3">
      <c r="A160" s="7">
        <v>3</v>
      </c>
      <c r="B160" s="7">
        <v>7</v>
      </c>
    </row>
    <row r="161" spans="1:2" x14ac:dyDescent="0.3">
      <c r="A161" s="7">
        <v>3</v>
      </c>
      <c r="B161" s="7">
        <v>8</v>
      </c>
    </row>
    <row r="162" spans="1:2" x14ac:dyDescent="0.3">
      <c r="A162" s="7">
        <v>2</v>
      </c>
      <c r="B162" s="7">
        <v>7</v>
      </c>
    </row>
    <row r="163" spans="1:2" x14ac:dyDescent="0.3">
      <c r="A163" s="7">
        <v>5</v>
      </c>
      <c r="B163" s="7">
        <v>7</v>
      </c>
    </row>
    <row r="164" spans="1:2" x14ac:dyDescent="0.3">
      <c r="A164" s="7">
        <v>3</v>
      </c>
      <c r="B164" s="7">
        <v>8</v>
      </c>
    </row>
    <row r="165" spans="1:2" x14ac:dyDescent="0.3">
      <c r="A165" s="7">
        <v>7</v>
      </c>
      <c r="B165" s="7">
        <v>6</v>
      </c>
    </row>
    <row r="166" spans="1:2" x14ac:dyDescent="0.3">
      <c r="A166" s="7">
        <v>7</v>
      </c>
      <c r="B166" s="7">
        <v>7</v>
      </c>
    </row>
    <row r="167" spans="1:2" x14ac:dyDescent="0.3">
      <c r="A167" s="7">
        <v>2</v>
      </c>
      <c r="B167" s="7">
        <v>8</v>
      </c>
    </row>
    <row r="168" spans="1:2" x14ac:dyDescent="0.3">
      <c r="A168" s="7">
        <v>3</v>
      </c>
      <c r="B168" s="7">
        <v>8</v>
      </c>
    </row>
    <row r="169" spans="1:2" x14ac:dyDescent="0.3">
      <c r="A169" s="7">
        <v>5</v>
      </c>
      <c r="B169" s="7">
        <v>8</v>
      </c>
    </row>
    <row r="170" spans="1:2" x14ac:dyDescent="0.3">
      <c r="A170" s="7">
        <v>3</v>
      </c>
      <c r="B170" s="7">
        <v>7</v>
      </c>
    </row>
    <row r="171" spans="1:2" x14ac:dyDescent="0.3">
      <c r="A171" s="7">
        <v>2</v>
      </c>
      <c r="B171" s="7">
        <v>7</v>
      </c>
    </row>
    <row r="172" spans="1:2" x14ac:dyDescent="0.3">
      <c r="A172" s="7">
        <v>8</v>
      </c>
      <c r="B172" s="7">
        <v>6</v>
      </c>
    </row>
    <row r="173" spans="1:2" x14ac:dyDescent="0.3">
      <c r="A173" s="7">
        <v>5</v>
      </c>
      <c r="B173" s="7">
        <v>6</v>
      </c>
    </row>
    <row r="174" spans="1:2" x14ac:dyDescent="0.3">
      <c r="A174" s="7">
        <v>4</v>
      </c>
      <c r="B174" s="7">
        <v>7</v>
      </c>
    </row>
    <row r="175" spans="1:2" x14ac:dyDescent="0.3">
      <c r="A175" s="7">
        <v>6</v>
      </c>
      <c r="B175" s="7">
        <v>7</v>
      </c>
    </row>
    <row r="176" spans="1:2" x14ac:dyDescent="0.3">
      <c r="A176" s="7">
        <v>6</v>
      </c>
      <c r="B176" s="7">
        <v>7</v>
      </c>
    </row>
    <row r="177" spans="1:2" x14ac:dyDescent="0.3">
      <c r="A177" s="7">
        <v>3</v>
      </c>
      <c r="B177" s="7">
        <v>8</v>
      </c>
    </row>
    <row r="178" spans="1:2" x14ac:dyDescent="0.3">
      <c r="A178" s="7">
        <v>2</v>
      </c>
      <c r="B178" s="7">
        <v>8</v>
      </c>
    </row>
    <row r="179" spans="1:2" x14ac:dyDescent="0.3">
      <c r="A179" s="7">
        <v>4</v>
      </c>
      <c r="B179" s="7">
        <v>8</v>
      </c>
    </row>
    <row r="180" spans="1:2" x14ac:dyDescent="0.3">
      <c r="A180" s="7">
        <v>4</v>
      </c>
      <c r="B180" s="7">
        <v>7</v>
      </c>
    </row>
    <row r="181" spans="1:2" x14ac:dyDescent="0.3">
      <c r="A181" s="7">
        <v>4</v>
      </c>
      <c r="B181" s="7">
        <v>9</v>
      </c>
    </row>
    <row r="182" spans="1:2" x14ac:dyDescent="0.3">
      <c r="A182" s="7">
        <v>5</v>
      </c>
      <c r="B182" s="7">
        <v>7</v>
      </c>
    </row>
    <row r="183" spans="1:2" x14ac:dyDescent="0.3">
      <c r="A183" s="7">
        <v>5</v>
      </c>
      <c r="B183" s="7">
        <v>6</v>
      </c>
    </row>
    <row r="184" spans="1:2" x14ac:dyDescent="0.3">
      <c r="A184" s="7">
        <v>10</v>
      </c>
      <c r="B184" s="7">
        <v>5</v>
      </c>
    </row>
    <row r="185" spans="1:2" x14ac:dyDescent="0.3">
      <c r="A185" s="7">
        <v>2</v>
      </c>
      <c r="B185" s="7">
        <v>8</v>
      </c>
    </row>
    <row r="186" spans="1:2" x14ac:dyDescent="0.3">
      <c r="A186" s="7">
        <v>4</v>
      </c>
      <c r="B186" s="7">
        <v>7</v>
      </c>
    </row>
    <row r="187" spans="1:2" x14ac:dyDescent="0.3">
      <c r="A187" s="7">
        <v>3</v>
      </c>
      <c r="B187" s="7">
        <v>8</v>
      </c>
    </row>
    <row r="188" spans="1:2" x14ac:dyDescent="0.3">
      <c r="A188" s="7">
        <v>7</v>
      </c>
      <c r="B188" s="7">
        <v>7</v>
      </c>
    </row>
    <row r="189" spans="1:2" x14ac:dyDescent="0.3">
      <c r="A189" s="7">
        <v>3</v>
      </c>
      <c r="B189" s="7">
        <v>7</v>
      </c>
    </row>
    <row r="190" spans="1:2" x14ac:dyDescent="0.3">
      <c r="A190" s="7">
        <v>3</v>
      </c>
      <c r="B190" s="7">
        <v>7</v>
      </c>
    </row>
    <row r="191" spans="1:2" x14ac:dyDescent="0.3">
      <c r="A191" s="7">
        <v>4</v>
      </c>
      <c r="B191" s="7">
        <v>6</v>
      </c>
    </row>
    <row r="192" spans="1:2" x14ac:dyDescent="0.3">
      <c r="A192" s="7">
        <v>4</v>
      </c>
      <c r="B192" s="7">
        <v>7</v>
      </c>
    </row>
    <row r="193" spans="1:2" x14ac:dyDescent="0.3">
      <c r="A193" s="7">
        <v>3</v>
      </c>
      <c r="B193" s="7">
        <v>8</v>
      </c>
    </row>
    <row r="194" spans="1:2" x14ac:dyDescent="0.3">
      <c r="A194" s="7">
        <v>3</v>
      </c>
      <c r="B194" s="7">
        <v>8</v>
      </c>
    </row>
    <row r="195" spans="1:2" x14ac:dyDescent="0.3">
      <c r="A195" s="7">
        <v>8</v>
      </c>
      <c r="B195" s="7">
        <v>6</v>
      </c>
    </row>
    <row r="196" spans="1:2" x14ac:dyDescent="0.3">
      <c r="A196" s="7">
        <v>4</v>
      </c>
      <c r="B196" s="7">
        <v>7</v>
      </c>
    </row>
    <row r="197" spans="1:2" x14ac:dyDescent="0.3">
      <c r="A197" s="7">
        <v>7</v>
      </c>
      <c r="B197" s="7">
        <v>7</v>
      </c>
    </row>
    <row r="198" spans="1:2" x14ac:dyDescent="0.3">
      <c r="A198" s="7">
        <v>4</v>
      </c>
      <c r="B198" s="7">
        <v>7</v>
      </c>
    </row>
    <row r="199" spans="1:2" x14ac:dyDescent="0.3">
      <c r="A199" s="7">
        <v>1</v>
      </c>
      <c r="B199" s="7">
        <v>8</v>
      </c>
    </row>
    <row r="200" spans="1:2" x14ac:dyDescent="0.3">
      <c r="A200" s="7">
        <v>12</v>
      </c>
      <c r="B200" s="7">
        <v>5</v>
      </c>
    </row>
    <row r="201" spans="1:2" x14ac:dyDescent="0.3">
      <c r="A201" s="7">
        <v>6</v>
      </c>
      <c r="B201" s="7">
        <v>6</v>
      </c>
    </row>
    <row r="202" spans="1:2" x14ac:dyDescent="0.3">
      <c r="A202" s="7">
        <v>9</v>
      </c>
      <c r="B202" s="7">
        <v>6</v>
      </c>
    </row>
    <row r="203" spans="1:2" x14ac:dyDescent="0.3">
      <c r="A203" s="7">
        <v>8</v>
      </c>
      <c r="B203" s="7">
        <v>7</v>
      </c>
    </row>
    <row r="204" spans="1:2" x14ac:dyDescent="0.3">
      <c r="A204" s="7">
        <v>7</v>
      </c>
      <c r="B204" s="7">
        <v>7</v>
      </c>
    </row>
    <row r="205" spans="1:2" x14ac:dyDescent="0.3">
      <c r="A205" s="7">
        <v>2</v>
      </c>
      <c r="B205" s="7">
        <v>8</v>
      </c>
    </row>
    <row r="206" spans="1:2" x14ac:dyDescent="0.3">
      <c r="A206" s="7">
        <v>4</v>
      </c>
      <c r="B206" s="7">
        <v>6</v>
      </c>
    </row>
    <row r="207" spans="1:2" x14ac:dyDescent="0.3">
      <c r="A207" s="7">
        <v>3</v>
      </c>
      <c r="B207" s="7">
        <v>7</v>
      </c>
    </row>
    <row r="208" spans="1:2" x14ac:dyDescent="0.3">
      <c r="A208" s="7">
        <v>4</v>
      </c>
      <c r="B208" s="7">
        <v>7</v>
      </c>
    </row>
    <row r="209" spans="1:2" x14ac:dyDescent="0.3">
      <c r="A209" s="7">
        <v>1</v>
      </c>
      <c r="B209" s="7">
        <v>8</v>
      </c>
    </row>
    <row r="210" spans="1:2" x14ac:dyDescent="0.3">
      <c r="A210" s="7">
        <v>4</v>
      </c>
      <c r="B210" s="7">
        <v>7</v>
      </c>
    </row>
    <row r="211" spans="1:2" x14ac:dyDescent="0.3">
      <c r="A211" s="7">
        <v>10</v>
      </c>
      <c r="B211" s="7">
        <v>8</v>
      </c>
    </row>
    <row r="212" spans="1:2" x14ac:dyDescent="0.3">
      <c r="A212" s="7">
        <v>3</v>
      </c>
      <c r="B212" s="7">
        <v>8</v>
      </c>
    </row>
    <row r="213" spans="1:2" x14ac:dyDescent="0.3">
      <c r="A213" s="7">
        <v>6</v>
      </c>
      <c r="B213" s="7">
        <v>7</v>
      </c>
    </row>
    <row r="214" spans="1:2" x14ac:dyDescent="0.3">
      <c r="A214" s="7">
        <v>4</v>
      </c>
      <c r="B214" s="7">
        <v>8</v>
      </c>
    </row>
    <row r="215" spans="1:2" x14ac:dyDescent="0.3">
      <c r="A215" s="7">
        <v>4</v>
      </c>
      <c r="B215" s="7">
        <v>8</v>
      </c>
    </row>
    <row r="216" spans="1:2" x14ac:dyDescent="0.3">
      <c r="A216" s="7">
        <v>9</v>
      </c>
      <c r="B216" s="7">
        <v>6</v>
      </c>
    </row>
    <row r="217" spans="1:2" x14ac:dyDescent="0.3">
      <c r="A217" s="7">
        <v>11</v>
      </c>
      <c r="B217" s="7">
        <v>6</v>
      </c>
    </row>
    <row r="218" spans="1:2" x14ac:dyDescent="0.3">
      <c r="A218" s="7">
        <v>4</v>
      </c>
      <c r="B218" s="7">
        <v>7</v>
      </c>
    </row>
    <row r="219" spans="1:2" x14ac:dyDescent="0.3">
      <c r="A219" s="7">
        <v>5</v>
      </c>
      <c r="B219" s="7">
        <v>7</v>
      </c>
    </row>
    <row r="220" spans="1:2" x14ac:dyDescent="0.3">
      <c r="A220" s="7">
        <v>2</v>
      </c>
      <c r="B220" s="7">
        <v>7</v>
      </c>
    </row>
    <row r="221" spans="1:2" x14ac:dyDescent="0.3">
      <c r="A221" s="7">
        <v>3</v>
      </c>
      <c r="B221" s="7">
        <v>7</v>
      </c>
    </row>
    <row r="222" spans="1:2" x14ac:dyDescent="0.3">
      <c r="A222" s="7">
        <v>9</v>
      </c>
      <c r="B222" s="7">
        <v>7</v>
      </c>
    </row>
    <row r="223" spans="1:2" x14ac:dyDescent="0.3">
      <c r="A223" s="7">
        <v>5</v>
      </c>
      <c r="B223" s="7">
        <v>6</v>
      </c>
    </row>
    <row r="224" spans="1:2" x14ac:dyDescent="0.3">
      <c r="A224" s="7">
        <v>4</v>
      </c>
      <c r="B224" s="7">
        <v>8</v>
      </c>
    </row>
    <row r="225" spans="1:2" x14ac:dyDescent="0.3">
      <c r="A225" s="7">
        <v>6</v>
      </c>
      <c r="B225" s="7">
        <v>6</v>
      </c>
    </row>
    <row r="226" spans="1:2" x14ac:dyDescent="0.3">
      <c r="A226" s="7">
        <v>1</v>
      </c>
      <c r="B226" s="7">
        <v>8</v>
      </c>
    </row>
    <row r="227" spans="1:2" x14ac:dyDescent="0.3">
      <c r="A227" s="7">
        <v>5</v>
      </c>
      <c r="B227" s="7">
        <v>8</v>
      </c>
    </row>
    <row r="228" spans="1:2" x14ac:dyDescent="0.3">
      <c r="A228" s="7">
        <v>4</v>
      </c>
      <c r="B228" s="7">
        <v>7</v>
      </c>
    </row>
    <row r="229" spans="1:2" x14ac:dyDescent="0.3">
      <c r="A229" s="7">
        <v>7</v>
      </c>
      <c r="B229" s="7">
        <v>6</v>
      </c>
    </row>
    <row r="230" spans="1:2" x14ac:dyDescent="0.3">
      <c r="A230" s="7">
        <v>2</v>
      </c>
      <c r="B230" s="7">
        <v>7</v>
      </c>
    </row>
    <row r="231" spans="1:2" x14ac:dyDescent="0.3">
      <c r="A231" s="7">
        <v>9</v>
      </c>
      <c r="B231" s="7">
        <v>6</v>
      </c>
    </row>
    <row r="232" spans="1:2" x14ac:dyDescent="0.3">
      <c r="A232" s="7">
        <v>2</v>
      </c>
      <c r="B232" s="7">
        <v>7</v>
      </c>
    </row>
    <row r="233" spans="1:2" x14ac:dyDescent="0.3">
      <c r="A233" s="7">
        <v>2</v>
      </c>
      <c r="B233" s="7">
        <v>8</v>
      </c>
    </row>
    <row r="234" spans="1:2" x14ac:dyDescent="0.3">
      <c r="A234" s="7">
        <v>5</v>
      </c>
      <c r="B234" s="7">
        <v>7</v>
      </c>
    </row>
    <row r="235" spans="1:2" x14ac:dyDescent="0.3">
      <c r="A235" s="7">
        <v>5</v>
      </c>
      <c r="B235" s="7">
        <v>7</v>
      </c>
    </row>
    <row r="236" spans="1:2" x14ac:dyDescent="0.3">
      <c r="A236" s="7">
        <v>3</v>
      </c>
      <c r="B236" s="7">
        <v>9</v>
      </c>
    </row>
    <row r="237" spans="1:2" x14ac:dyDescent="0.3">
      <c r="A237" s="7">
        <v>2</v>
      </c>
      <c r="B237" s="7">
        <v>8</v>
      </c>
    </row>
    <row r="238" spans="1:2" x14ac:dyDescent="0.3">
      <c r="A238" s="7">
        <v>7</v>
      </c>
      <c r="B238" s="7">
        <v>5</v>
      </c>
    </row>
    <row r="239" spans="1:2" x14ac:dyDescent="0.3">
      <c r="A239" s="7">
        <v>3</v>
      </c>
      <c r="B239" s="7">
        <v>8</v>
      </c>
    </row>
    <row r="240" spans="1:2" x14ac:dyDescent="0.3">
      <c r="A240" s="7">
        <v>5</v>
      </c>
      <c r="B240" s="7">
        <v>7</v>
      </c>
    </row>
    <row r="241" spans="1:2" x14ac:dyDescent="0.3">
      <c r="A241" s="7">
        <v>5</v>
      </c>
      <c r="B241" s="7">
        <v>7</v>
      </c>
    </row>
    <row r="242" spans="1:2" x14ac:dyDescent="0.3">
      <c r="A242" s="7">
        <v>4</v>
      </c>
      <c r="B242" s="7">
        <v>7</v>
      </c>
    </row>
    <row r="243" spans="1:2" x14ac:dyDescent="0.3">
      <c r="A243" s="7">
        <v>5</v>
      </c>
      <c r="B243" s="7">
        <v>7</v>
      </c>
    </row>
    <row r="244" spans="1:2" x14ac:dyDescent="0.3">
      <c r="A244" s="7">
        <v>4</v>
      </c>
      <c r="B244" s="7">
        <v>7</v>
      </c>
    </row>
    <row r="245" spans="1:2" x14ac:dyDescent="0.3">
      <c r="A245" s="7">
        <v>8</v>
      </c>
      <c r="B245" s="7">
        <v>7</v>
      </c>
    </row>
    <row r="246" spans="1:2" x14ac:dyDescent="0.3">
      <c r="A246" s="7">
        <v>3</v>
      </c>
      <c r="B246" s="7">
        <v>7</v>
      </c>
    </row>
    <row r="247" spans="1:2" x14ac:dyDescent="0.3">
      <c r="A247" s="7">
        <v>5</v>
      </c>
      <c r="B247" s="7">
        <v>7</v>
      </c>
    </row>
    <row r="248" spans="1:2" x14ac:dyDescent="0.3">
      <c r="A248" s="7">
        <v>3</v>
      </c>
      <c r="B248" s="7">
        <v>7</v>
      </c>
    </row>
    <row r="249" spans="1:2" x14ac:dyDescent="0.3">
      <c r="A249" s="7">
        <v>4</v>
      </c>
      <c r="B249" s="7">
        <v>7</v>
      </c>
    </row>
    <row r="250" spans="1:2" x14ac:dyDescent="0.3">
      <c r="A250" s="7">
        <v>5</v>
      </c>
      <c r="B250" s="7">
        <v>8</v>
      </c>
    </row>
    <row r="251" spans="1:2" x14ac:dyDescent="0.3">
      <c r="A251" s="7">
        <v>3</v>
      </c>
      <c r="B251" s="7">
        <v>8</v>
      </c>
    </row>
    <row r="252" spans="1:2" x14ac:dyDescent="0.3">
      <c r="A252" s="7">
        <v>3</v>
      </c>
      <c r="B252" s="7">
        <v>7</v>
      </c>
    </row>
    <row r="253" spans="1:2" x14ac:dyDescent="0.3">
      <c r="A253" s="7">
        <v>6</v>
      </c>
      <c r="B253" s="7">
        <v>7</v>
      </c>
    </row>
    <row r="254" spans="1:2" x14ac:dyDescent="0.3">
      <c r="A254" s="7">
        <v>2</v>
      </c>
      <c r="B254" s="7">
        <v>9</v>
      </c>
    </row>
    <row r="255" spans="1:2" x14ac:dyDescent="0.3">
      <c r="A255" s="7">
        <v>4</v>
      </c>
      <c r="B255" s="7">
        <v>8</v>
      </c>
    </row>
    <row r="256" spans="1:2" x14ac:dyDescent="0.3">
      <c r="A256" s="7">
        <v>12</v>
      </c>
      <c r="B256" s="7">
        <v>4</v>
      </c>
    </row>
    <row r="257" spans="1:2" x14ac:dyDescent="0.3">
      <c r="A257" s="7">
        <v>11</v>
      </c>
      <c r="B257" s="7">
        <v>5</v>
      </c>
    </row>
    <row r="258" spans="1:2" x14ac:dyDescent="0.3">
      <c r="A258" s="7">
        <v>2</v>
      </c>
      <c r="B258" s="7">
        <v>8</v>
      </c>
    </row>
    <row r="259" spans="1:2" x14ac:dyDescent="0.3">
      <c r="A259" s="7">
        <v>3</v>
      </c>
      <c r="B259" s="7">
        <v>7</v>
      </c>
    </row>
    <row r="260" spans="1:2" x14ac:dyDescent="0.3">
      <c r="A260" s="7">
        <v>3</v>
      </c>
      <c r="B260" s="7">
        <v>8</v>
      </c>
    </row>
    <row r="261" spans="1:2" x14ac:dyDescent="0.3">
      <c r="A261" s="7">
        <v>8</v>
      </c>
      <c r="B261" s="7">
        <v>7</v>
      </c>
    </row>
    <row r="262" spans="1:2" x14ac:dyDescent="0.3">
      <c r="A262" s="7">
        <v>7</v>
      </c>
      <c r="B262" s="7">
        <v>6</v>
      </c>
    </row>
    <row r="263" spans="1:2" x14ac:dyDescent="0.3">
      <c r="A263" s="7">
        <v>7</v>
      </c>
      <c r="B263" s="7">
        <v>6</v>
      </c>
    </row>
    <row r="264" spans="1:2" x14ac:dyDescent="0.3">
      <c r="A264" s="7">
        <v>3</v>
      </c>
      <c r="B264" s="7">
        <v>5</v>
      </c>
    </row>
    <row r="265" spans="1:2" x14ac:dyDescent="0.3">
      <c r="A265" s="7">
        <v>2</v>
      </c>
      <c r="B265" s="7">
        <v>7</v>
      </c>
    </row>
    <row r="266" spans="1:2" x14ac:dyDescent="0.3">
      <c r="A266" s="7">
        <v>6</v>
      </c>
      <c r="B266" s="7">
        <v>7</v>
      </c>
    </row>
    <row r="267" spans="1:2" x14ac:dyDescent="0.3">
      <c r="A267" s="7">
        <v>5</v>
      </c>
      <c r="B267" s="7">
        <v>6</v>
      </c>
    </row>
    <row r="268" spans="1:2" x14ac:dyDescent="0.3">
      <c r="A268" s="7">
        <v>5</v>
      </c>
      <c r="B268" s="7">
        <v>8</v>
      </c>
    </row>
    <row r="269" spans="1:2" x14ac:dyDescent="0.3">
      <c r="A269" s="7">
        <v>10</v>
      </c>
      <c r="B269" s="7">
        <v>5</v>
      </c>
    </row>
    <row r="270" spans="1:2" x14ac:dyDescent="0.3">
      <c r="A270" s="7">
        <v>5</v>
      </c>
      <c r="B270" s="7">
        <v>7</v>
      </c>
    </row>
    <row r="271" spans="1:2" x14ac:dyDescent="0.3">
      <c r="A271" s="7">
        <v>0</v>
      </c>
      <c r="B271" s="7">
        <v>8</v>
      </c>
    </row>
    <row r="272" spans="1:2" x14ac:dyDescent="0.3">
      <c r="A272" s="7">
        <v>6</v>
      </c>
      <c r="B272" s="7">
        <v>8</v>
      </c>
    </row>
    <row r="273" spans="1:2" x14ac:dyDescent="0.3">
      <c r="A273" s="7">
        <v>3</v>
      </c>
      <c r="B273" s="7">
        <v>7</v>
      </c>
    </row>
    <row r="274" spans="1:2" x14ac:dyDescent="0.3">
      <c r="A274" s="7">
        <v>5</v>
      </c>
      <c r="B274" s="7">
        <v>8</v>
      </c>
    </row>
    <row r="275" spans="1:2" x14ac:dyDescent="0.3">
      <c r="A275" s="7">
        <v>8</v>
      </c>
      <c r="B275" s="7">
        <v>6</v>
      </c>
    </row>
    <row r="276" spans="1:2" x14ac:dyDescent="0.3">
      <c r="A276" s="7">
        <v>2</v>
      </c>
      <c r="B276" s="7">
        <v>7</v>
      </c>
    </row>
    <row r="277" spans="1:2" x14ac:dyDescent="0.3">
      <c r="A277" s="7">
        <v>2</v>
      </c>
      <c r="B277" s="7">
        <v>8</v>
      </c>
    </row>
    <row r="278" spans="1:2" x14ac:dyDescent="0.3">
      <c r="A278" s="7">
        <v>2</v>
      </c>
      <c r="B278" s="7">
        <v>8</v>
      </c>
    </row>
    <row r="279" spans="1:2" x14ac:dyDescent="0.3">
      <c r="A279" s="7">
        <v>4</v>
      </c>
      <c r="B279" s="7">
        <v>7</v>
      </c>
    </row>
    <row r="280" spans="1:2" x14ac:dyDescent="0.3">
      <c r="A280" s="7">
        <v>3</v>
      </c>
      <c r="B280" s="7">
        <v>7</v>
      </c>
    </row>
    <row r="281" spans="1:2" x14ac:dyDescent="0.3">
      <c r="A281" s="7">
        <v>5</v>
      </c>
      <c r="B281" s="7">
        <v>7</v>
      </c>
    </row>
    <row r="282" spans="1:2" x14ac:dyDescent="0.3">
      <c r="A282" s="7">
        <v>5</v>
      </c>
      <c r="B282" s="7">
        <v>7</v>
      </c>
    </row>
    <row r="283" spans="1:2" x14ac:dyDescent="0.3">
      <c r="A283" s="7">
        <v>3</v>
      </c>
      <c r="B283" s="7">
        <v>8</v>
      </c>
    </row>
    <row r="284" spans="1:2" x14ac:dyDescent="0.3">
      <c r="A284" s="7">
        <v>5</v>
      </c>
      <c r="B284" s="7">
        <v>8</v>
      </c>
    </row>
    <row r="285" spans="1:2" x14ac:dyDescent="0.3">
      <c r="A285" s="7">
        <v>3</v>
      </c>
      <c r="B285" s="7">
        <v>7</v>
      </c>
    </row>
    <row r="286" spans="1:2" x14ac:dyDescent="0.3">
      <c r="A286" s="7">
        <v>4</v>
      </c>
      <c r="B286" s="7">
        <v>8</v>
      </c>
    </row>
    <row r="287" spans="1:2" x14ac:dyDescent="0.3">
      <c r="A287" s="7">
        <v>7</v>
      </c>
      <c r="B287" s="7">
        <v>5</v>
      </c>
    </row>
    <row r="288" spans="1:2" x14ac:dyDescent="0.3">
      <c r="A288" s="7">
        <v>7</v>
      </c>
      <c r="B288" s="7">
        <v>6</v>
      </c>
    </row>
    <row r="289" spans="1:2" x14ac:dyDescent="0.3">
      <c r="A289" s="7">
        <v>2</v>
      </c>
      <c r="B289" s="7">
        <v>8</v>
      </c>
    </row>
    <row r="290" spans="1:2" x14ac:dyDescent="0.3">
      <c r="A290" s="7">
        <v>4</v>
      </c>
      <c r="B290" s="7">
        <v>7</v>
      </c>
    </row>
    <row r="291" spans="1:2" x14ac:dyDescent="0.3">
      <c r="A291" s="7">
        <v>3</v>
      </c>
      <c r="B291" s="7">
        <v>7</v>
      </c>
    </row>
    <row r="292" spans="1:2" x14ac:dyDescent="0.3">
      <c r="A292" s="7">
        <v>0</v>
      </c>
      <c r="B292" s="7">
        <v>8</v>
      </c>
    </row>
    <row r="293" spans="1:2" x14ac:dyDescent="0.3">
      <c r="A293" s="7">
        <v>6</v>
      </c>
      <c r="B293" s="7">
        <v>6</v>
      </c>
    </row>
    <row r="294" spans="1:2" x14ac:dyDescent="0.3">
      <c r="A294" s="7">
        <v>5</v>
      </c>
      <c r="B294" s="7">
        <v>7</v>
      </c>
    </row>
    <row r="295" spans="1:2" x14ac:dyDescent="0.3">
      <c r="A295" s="7">
        <v>3</v>
      </c>
      <c r="B295" s="7">
        <v>8</v>
      </c>
    </row>
    <row r="296" spans="1:2" x14ac:dyDescent="0.3">
      <c r="A296" s="7">
        <v>6</v>
      </c>
      <c r="B296" s="7">
        <v>7</v>
      </c>
    </row>
    <row r="297" spans="1:2" x14ac:dyDescent="0.3">
      <c r="A297" s="7">
        <v>4</v>
      </c>
      <c r="B297" s="7">
        <v>7</v>
      </c>
    </row>
    <row r="298" spans="1:2" x14ac:dyDescent="0.3">
      <c r="A298" s="7">
        <v>4</v>
      </c>
      <c r="B298" s="7">
        <v>8</v>
      </c>
    </row>
    <row r="299" spans="1:2" x14ac:dyDescent="0.3">
      <c r="A299" s="7">
        <v>0</v>
      </c>
      <c r="B299" s="7">
        <v>8</v>
      </c>
    </row>
    <row r="300" spans="1:2" x14ac:dyDescent="0.3">
      <c r="A300" s="7">
        <v>2</v>
      </c>
      <c r="B300" s="7">
        <v>8</v>
      </c>
    </row>
    <row r="301" spans="1:2" x14ac:dyDescent="0.3">
      <c r="A301" s="7">
        <v>7</v>
      </c>
      <c r="B301" s="7">
        <v>7</v>
      </c>
    </row>
    <row r="302" spans="1:2" x14ac:dyDescent="0.3">
      <c r="A302" s="7">
        <v>7</v>
      </c>
      <c r="B302" s="7">
        <v>6</v>
      </c>
    </row>
    <row r="303" spans="1:2" x14ac:dyDescent="0.3">
      <c r="A303" s="7">
        <v>4</v>
      </c>
      <c r="B303" s="7">
        <v>7</v>
      </c>
    </row>
    <row r="304" spans="1:2" x14ac:dyDescent="0.3">
      <c r="A304" s="7">
        <v>6</v>
      </c>
      <c r="B304" s="7">
        <v>7</v>
      </c>
    </row>
    <row r="305" spans="1:2" x14ac:dyDescent="0.3">
      <c r="A305" s="7">
        <v>5</v>
      </c>
      <c r="B305" s="7">
        <v>7</v>
      </c>
    </row>
    <row r="306" spans="1:2" x14ac:dyDescent="0.3">
      <c r="A306" s="7">
        <v>2</v>
      </c>
      <c r="B306" s="7">
        <v>8</v>
      </c>
    </row>
    <row r="307" spans="1:2" x14ac:dyDescent="0.3">
      <c r="A307" s="7">
        <v>2</v>
      </c>
      <c r="B307" s="7">
        <v>8</v>
      </c>
    </row>
    <row r="308" spans="1:2" x14ac:dyDescent="0.3">
      <c r="A308" s="7">
        <v>3</v>
      </c>
      <c r="B308" s="7">
        <v>8</v>
      </c>
    </row>
    <row r="309" spans="1:2" x14ac:dyDescent="0.3">
      <c r="A309" s="7">
        <v>7</v>
      </c>
      <c r="B309" s="7">
        <v>6</v>
      </c>
    </row>
    <row r="310" spans="1:2" x14ac:dyDescent="0.3">
      <c r="A310" s="7">
        <v>6</v>
      </c>
      <c r="B310" s="7">
        <v>7</v>
      </c>
    </row>
    <row r="311" spans="1:2" x14ac:dyDescent="0.3">
      <c r="A311" s="7">
        <v>7</v>
      </c>
      <c r="B311" s="7">
        <v>6</v>
      </c>
    </row>
    <row r="312" spans="1:2" x14ac:dyDescent="0.3">
      <c r="A312" s="7">
        <v>7</v>
      </c>
      <c r="B312" s="7">
        <v>6</v>
      </c>
    </row>
    <row r="313" spans="1:2" x14ac:dyDescent="0.3">
      <c r="A313" s="7">
        <v>3</v>
      </c>
      <c r="B313" s="7">
        <v>8</v>
      </c>
    </row>
    <row r="314" spans="1:2" x14ac:dyDescent="0.3">
      <c r="A314" s="7">
        <v>3</v>
      </c>
      <c r="B314" s="7">
        <v>8</v>
      </c>
    </row>
    <row r="315" spans="1:2" x14ac:dyDescent="0.3">
      <c r="A315" s="7">
        <v>2</v>
      </c>
      <c r="B315" s="7">
        <v>8</v>
      </c>
    </row>
    <row r="316" spans="1:2" x14ac:dyDescent="0.3">
      <c r="A316" s="7">
        <v>2</v>
      </c>
      <c r="B316" s="7">
        <v>10</v>
      </c>
    </row>
    <row r="317" spans="1:2" x14ac:dyDescent="0.3">
      <c r="A317" s="7">
        <v>7</v>
      </c>
      <c r="B317" s="7">
        <v>7</v>
      </c>
    </row>
    <row r="318" spans="1:2" x14ac:dyDescent="0.3">
      <c r="A318" s="7">
        <v>4</v>
      </c>
      <c r="B318" s="7">
        <v>8</v>
      </c>
    </row>
    <row r="319" spans="1:2" x14ac:dyDescent="0.3">
      <c r="A319" s="7">
        <v>5</v>
      </c>
      <c r="B319" s="7">
        <v>7</v>
      </c>
    </row>
    <row r="320" spans="1:2" x14ac:dyDescent="0.3">
      <c r="A320" s="7">
        <v>2</v>
      </c>
      <c r="B320" s="7">
        <v>8</v>
      </c>
    </row>
    <row r="321" spans="1:2" x14ac:dyDescent="0.3">
      <c r="A321" s="7">
        <v>8</v>
      </c>
      <c r="B321" s="7">
        <v>6</v>
      </c>
    </row>
    <row r="322" spans="1:2" x14ac:dyDescent="0.3">
      <c r="A322" s="7">
        <v>7</v>
      </c>
      <c r="B322" s="7">
        <v>9</v>
      </c>
    </row>
    <row r="323" spans="1:2" x14ac:dyDescent="0.3">
      <c r="A323" s="7">
        <v>10</v>
      </c>
      <c r="B323" s="7">
        <v>6</v>
      </c>
    </row>
    <row r="324" spans="1:2" x14ac:dyDescent="0.3">
      <c r="A324" s="7">
        <v>6</v>
      </c>
      <c r="B324" s="7">
        <v>6</v>
      </c>
    </row>
    <row r="325" spans="1:2" x14ac:dyDescent="0.3">
      <c r="A325" s="7">
        <v>7</v>
      </c>
      <c r="B325" s="7">
        <v>8</v>
      </c>
    </row>
    <row r="326" spans="1:2" x14ac:dyDescent="0.3">
      <c r="A326" s="7">
        <v>1</v>
      </c>
      <c r="B326" s="7">
        <v>7</v>
      </c>
    </row>
    <row r="327" spans="1:2" x14ac:dyDescent="0.3">
      <c r="A327" s="7">
        <v>6</v>
      </c>
      <c r="B327" s="7">
        <v>6</v>
      </c>
    </row>
    <row r="328" spans="1:2" x14ac:dyDescent="0.3">
      <c r="A328" s="7">
        <v>3</v>
      </c>
      <c r="B328" s="7">
        <v>8</v>
      </c>
    </row>
    <row r="329" spans="1:2" x14ac:dyDescent="0.3">
      <c r="A329" s="7">
        <v>8</v>
      </c>
      <c r="B329" s="7">
        <v>7</v>
      </c>
    </row>
    <row r="330" spans="1:2" x14ac:dyDescent="0.3">
      <c r="A330" s="7">
        <v>6</v>
      </c>
      <c r="B330" s="7">
        <v>7</v>
      </c>
    </row>
    <row r="331" spans="1:2" x14ac:dyDescent="0.3">
      <c r="A331" s="7">
        <v>7</v>
      </c>
      <c r="B331" s="7">
        <v>7</v>
      </c>
    </row>
    <row r="332" spans="1:2" x14ac:dyDescent="0.3">
      <c r="A332" s="7">
        <v>6</v>
      </c>
      <c r="B332" s="7">
        <v>7</v>
      </c>
    </row>
    <row r="333" spans="1:2" x14ac:dyDescent="0.3">
      <c r="A333" s="7">
        <v>3</v>
      </c>
      <c r="B333" s="7">
        <v>7</v>
      </c>
    </row>
    <row r="334" spans="1:2" x14ac:dyDescent="0.3">
      <c r="A334" s="7">
        <v>6</v>
      </c>
      <c r="B334" s="7">
        <v>7</v>
      </c>
    </row>
    <row r="335" spans="1:2" x14ac:dyDescent="0.3">
      <c r="A335" s="7">
        <v>2</v>
      </c>
      <c r="B335" s="7">
        <v>7</v>
      </c>
    </row>
    <row r="336" spans="1:2" x14ac:dyDescent="0.3">
      <c r="A336" s="7">
        <v>7</v>
      </c>
      <c r="B336" s="7">
        <v>7</v>
      </c>
    </row>
    <row r="337" spans="1:2" x14ac:dyDescent="0.3">
      <c r="A337" s="7">
        <v>7</v>
      </c>
      <c r="B337" s="7">
        <v>6</v>
      </c>
    </row>
    <row r="338" spans="1:2" x14ac:dyDescent="0.3">
      <c r="A338" s="7">
        <v>3</v>
      </c>
      <c r="B338" s="7">
        <v>7</v>
      </c>
    </row>
    <row r="339" spans="1:2" x14ac:dyDescent="0.3">
      <c r="A339" s="7">
        <v>6</v>
      </c>
      <c r="B339" s="7">
        <v>7</v>
      </c>
    </row>
    <row r="340" spans="1:2" x14ac:dyDescent="0.3">
      <c r="A340" s="7">
        <v>4</v>
      </c>
      <c r="B340" s="7">
        <v>7</v>
      </c>
    </row>
    <row r="341" spans="1:2" x14ac:dyDescent="0.3">
      <c r="A341" s="7">
        <v>3</v>
      </c>
      <c r="B341" s="7">
        <v>7</v>
      </c>
    </row>
    <row r="342" spans="1:2" x14ac:dyDescent="0.3">
      <c r="A342" s="7">
        <v>6</v>
      </c>
      <c r="B342" s="7">
        <v>6</v>
      </c>
    </row>
    <row r="343" spans="1:2" x14ac:dyDescent="0.3">
      <c r="A343" s="7">
        <v>3</v>
      </c>
      <c r="B343" s="7">
        <v>8</v>
      </c>
    </row>
    <row r="344" spans="1:2" x14ac:dyDescent="0.3">
      <c r="A344" s="7">
        <v>1</v>
      </c>
      <c r="B344" s="7">
        <v>8</v>
      </c>
    </row>
    <row r="345" spans="1:2" x14ac:dyDescent="0.3">
      <c r="A345" s="7">
        <v>3</v>
      </c>
      <c r="B345" s="7">
        <v>7</v>
      </c>
    </row>
    <row r="346" spans="1:2" x14ac:dyDescent="0.3">
      <c r="A346" s="7">
        <v>3</v>
      </c>
      <c r="B346" s="7">
        <v>7</v>
      </c>
    </row>
    <row r="347" spans="1:2" x14ac:dyDescent="0.3">
      <c r="A347" s="7">
        <v>7</v>
      </c>
      <c r="B347" s="7">
        <v>7</v>
      </c>
    </row>
    <row r="348" spans="1:2" x14ac:dyDescent="0.3">
      <c r="A348" s="7">
        <v>9</v>
      </c>
      <c r="B348" s="7">
        <v>5</v>
      </c>
    </row>
    <row r="349" spans="1:2" x14ac:dyDescent="0.3">
      <c r="A349" s="7">
        <v>3</v>
      </c>
      <c r="B349" s="7">
        <v>7</v>
      </c>
    </row>
    <row r="350" spans="1:2" x14ac:dyDescent="0.3">
      <c r="A350" s="7">
        <v>5</v>
      </c>
      <c r="B350" s="7">
        <v>7</v>
      </c>
    </row>
    <row r="351" spans="1:2" x14ac:dyDescent="0.3">
      <c r="A351" s="7">
        <v>4</v>
      </c>
      <c r="B351" s="7">
        <v>7</v>
      </c>
    </row>
    <row r="352" spans="1:2" x14ac:dyDescent="0.3">
      <c r="A352" s="7">
        <v>10</v>
      </c>
      <c r="B352" s="7">
        <v>6</v>
      </c>
    </row>
    <row r="353" spans="1:2" x14ac:dyDescent="0.3">
      <c r="A353" s="7">
        <v>4</v>
      </c>
      <c r="B353" s="7">
        <v>8</v>
      </c>
    </row>
    <row r="354" spans="1:2" x14ac:dyDescent="0.3">
      <c r="A354" s="7">
        <v>8</v>
      </c>
      <c r="B354" s="7">
        <v>7</v>
      </c>
    </row>
    <row r="355" spans="1:2" x14ac:dyDescent="0.3">
      <c r="A355" s="7">
        <v>2</v>
      </c>
      <c r="B355" s="7">
        <v>8</v>
      </c>
    </row>
    <row r="356" spans="1:2" x14ac:dyDescent="0.3">
      <c r="A356" s="7">
        <v>9</v>
      </c>
      <c r="B356" s="7">
        <v>6</v>
      </c>
    </row>
    <row r="357" spans="1:2" x14ac:dyDescent="0.3">
      <c r="A357" s="7">
        <v>2</v>
      </c>
      <c r="B357" s="7">
        <v>7</v>
      </c>
    </row>
    <row r="358" spans="1:2" x14ac:dyDescent="0.3">
      <c r="A358" s="7">
        <v>9</v>
      </c>
      <c r="B358" s="7">
        <v>6</v>
      </c>
    </row>
    <row r="359" spans="1:2" x14ac:dyDescent="0.3">
      <c r="A359" s="7">
        <v>3</v>
      </c>
      <c r="B359" s="7">
        <v>7</v>
      </c>
    </row>
    <row r="360" spans="1:2" x14ac:dyDescent="0.3">
      <c r="A360" s="7">
        <v>2</v>
      </c>
      <c r="B360" s="7">
        <v>8</v>
      </c>
    </row>
    <row r="361" spans="1:2" x14ac:dyDescent="0.3">
      <c r="A361" s="7">
        <v>4</v>
      </c>
      <c r="B361" s="7">
        <v>7</v>
      </c>
    </row>
    <row r="362" spans="1:2" x14ac:dyDescent="0.3">
      <c r="A362" s="7">
        <v>5</v>
      </c>
      <c r="B362" s="7">
        <v>7</v>
      </c>
    </row>
    <row r="363" spans="1:2" x14ac:dyDescent="0.3">
      <c r="A363" s="7">
        <v>3</v>
      </c>
      <c r="B363" s="7">
        <v>8</v>
      </c>
    </row>
    <row r="364" spans="1:2" x14ac:dyDescent="0.3">
      <c r="A364" s="7">
        <v>5</v>
      </c>
      <c r="B364" s="7">
        <v>7</v>
      </c>
    </row>
    <row r="365" spans="1:2" x14ac:dyDescent="0.3">
      <c r="A365" s="7">
        <v>4</v>
      </c>
      <c r="B365" s="7">
        <v>7</v>
      </c>
    </row>
    <row r="366" spans="1:2" x14ac:dyDescent="0.3">
      <c r="A366" s="7">
        <v>4</v>
      </c>
      <c r="B366" s="7">
        <v>8</v>
      </c>
    </row>
    <row r="367" spans="1:2" x14ac:dyDescent="0.3">
      <c r="A367" s="7">
        <v>5</v>
      </c>
      <c r="B367" s="7">
        <v>7</v>
      </c>
    </row>
    <row r="368" spans="1:2" x14ac:dyDescent="0.3">
      <c r="A368" s="7">
        <v>3</v>
      </c>
      <c r="B368" s="7">
        <v>8</v>
      </c>
    </row>
    <row r="369" spans="1:2" x14ac:dyDescent="0.3">
      <c r="A369" s="7">
        <v>5</v>
      </c>
      <c r="B369" s="7">
        <v>7</v>
      </c>
    </row>
    <row r="370" spans="1:2" x14ac:dyDescent="0.3">
      <c r="A370" s="7">
        <v>0</v>
      </c>
      <c r="B370" s="7">
        <v>8</v>
      </c>
    </row>
    <row r="371" spans="1:2" x14ac:dyDescent="0.3">
      <c r="A371" s="7">
        <v>8</v>
      </c>
      <c r="B371" s="7">
        <v>6</v>
      </c>
    </row>
    <row r="372" spans="1:2" x14ac:dyDescent="0.3">
      <c r="A372" s="7">
        <v>4</v>
      </c>
      <c r="B372" s="7">
        <v>7</v>
      </c>
    </row>
    <row r="373" spans="1:2" x14ac:dyDescent="0.3">
      <c r="A373" s="7">
        <v>5</v>
      </c>
      <c r="B373" s="7">
        <v>7</v>
      </c>
    </row>
    <row r="374" spans="1:2" x14ac:dyDescent="0.3">
      <c r="A374" s="7">
        <v>6</v>
      </c>
      <c r="B374" s="7">
        <v>8</v>
      </c>
    </row>
    <row r="375" spans="1:2" x14ac:dyDescent="0.3">
      <c r="A375" s="7">
        <v>5</v>
      </c>
      <c r="B375" s="7">
        <v>8</v>
      </c>
    </row>
    <row r="376" spans="1:2" x14ac:dyDescent="0.3">
      <c r="A376" s="7">
        <v>3</v>
      </c>
      <c r="B376" s="7">
        <v>9</v>
      </c>
    </row>
    <row r="377" spans="1:2" x14ac:dyDescent="0.3">
      <c r="A377" s="7">
        <v>1</v>
      </c>
      <c r="B377" s="7">
        <v>7</v>
      </c>
    </row>
    <row r="378" spans="1:2" x14ac:dyDescent="0.3">
      <c r="A378" s="7">
        <v>5</v>
      </c>
      <c r="B378" s="7">
        <v>7</v>
      </c>
    </row>
    <row r="379" spans="1:2" x14ac:dyDescent="0.3">
      <c r="A379" s="7">
        <v>3</v>
      </c>
      <c r="B379" s="7">
        <v>8</v>
      </c>
    </row>
    <row r="380" spans="1:2" x14ac:dyDescent="0.3">
      <c r="A380" s="7">
        <v>3</v>
      </c>
      <c r="B380" s="7">
        <v>9</v>
      </c>
    </row>
    <row r="381" spans="1:2" x14ac:dyDescent="0.3">
      <c r="A381" s="7">
        <v>7</v>
      </c>
      <c r="B381" s="7">
        <v>6</v>
      </c>
    </row>
    <row r="382" spans="1:2" x14ac:dyDescent="0.3">
      <c r="A382" s="7">
        <v>5</v>
      </c>
      <c r="B382" s="7">
        <v>6</v>
      </c>
    </row>
    <row r="383" spans="1:2" x14ac:dyDescent="0.3">
      <c r="A383" s="7">
        <v>3</v>
      </c>
      <c r="B383" s="7">
        <v>7</v>
      </c>
    </row>
    <row r="384" spans="1:2" x14ac:dyDescent="0.3">
      <c r="A384" s="7">
        <v>3</v>
      </c>
      <c r="B384" s="7">
        <v>6</v>
      </c>
    </row>
    <row r="385" spans="1:2" x14ac:dyDescent="0.3">
      <c r="A385" s="7">
        <v>4</v>
      </c>
      <c r="B385" s="7">
        <v>7</v>
      </c>
    </row>
    <row r="386" spans="1:2" x14ac:dyDescent="0.3">
      <c r="A386" s="7">
        <v>4</v>
      </c>
      <c r="B386" s="7">
        <v>7</v>
      </c>
    </row>
    <row r="387" spans="1:2" x14ac:dyDescent="0.3">
      <c r="A387" s="7">
        <v>3</v>
      </c>
      <c r="B387" s="7">
        <v>7</v>
      </c>
    </row>
    <row r="388" spans="1:2" x14ac:dyDescent="0.3">
      <c r="A388" s="7">
        <v>2</v>
      </c>
      <c r="B388" s="7">
        <v>8</v>
      </c>
    </row>
    <row r="389" spans="1:2" x14ac:dyDescent="0.3">
      <c r="A389" s="7">
        <v>4</v>
      </c>
      <c r="B389" s="7">
        <v>8</v>
      </c>
    </row>
    <row r="390" spans="1:2" x14ac:dyDescent="0.3">
      <c r="A390" s="7">
        <v>8</v>
      </c>
      <c r="B390" s="7">
        <v>7</v>
      </c>
    </row>
    <row r="391" spans="1:2" x14ac:dyDescent="0.3">
      <c r="A391" s="7">
        <v>5</v>
      </c>
      <c r="B391" s="7">
        <v>7</v>
      </c>
    </row>
    <row r="392" spans="1:2" x14ac:dyDescent="0.3">
      <c r="A392" s="7">
        <v>7</v>
      </c>
      <c r="B392" s="7">
        <v>6</v>
      </c>
    </row>
    <row r="393" spans="1:2" x14ac:dyDescent="0.3">
      <c r="A393" s="7">
        <v>5</v>
      </c>
      <c r="B393" s="7">
        <v>7</v>
      </c>
    </row>
    <row r="394" spans="1:2" x14ac:dyDescent="0.3">
      <c r="A394" s="7">
        <v>3</v>
      </c>
      <c r="B394" s="7">
        <v>7</v>
      </c>
    </row>
    <row r="395" spans="1:2" x14ac:dyDescent="0.3">
      <c r="A395" s="7">
        <v>4</v>
      </c>
      <c r="B395" s="7">
        <v>8</v>
      </c>
    </row>
    <row r="396" spans="1:2" x14ac:dyDescent="0.3">
      <c r="A396" s="7">
        <v>0</v>
      </c>
      <c r="B396" s="7">
        <v>9</v>
      </c>
    </row>
    <row r="397" spans="1:2" x14ac:dyDescent="0.3">
      <c r="A397" s="7">
        <v>3</v>
      </c>
      <c r="B397" s="7">
        <v>7</v>
      </c>
    </row>
    <row r="398" spans="1:2" x14ac:dyDescent="0.3">
      <c r="A398" s="7">
        <v>4</v>
      </c>
      <c r="B398" s="7">
        <v>6</v>
      </c>
    </row>
    <row r="399" spans="1:2" x14ac:dyDescent="0.3">
      <c r="A399" s="7">
        <v>5</v>
      </c>
      <c r="B399" s="7">
        <v>8</v>
      </c>
    </row>
    <row r="400" spans="1:2" x14ac:dyDescent="0.3">
      <c r="A400" s="7">
        <v>5</v>
      </c>
      <c r="B400" s="7">
        <v>7</v>
      </c>
    </row>
    <row r="401" spans="1:2" x14ac:dyDescent="0.3">
      <c r="A401" s="7">
        <v>4</v>
      </c>
      <c r="B401" s="7">
        <v>8</v>
      </c>
    </row>
    <row r="402" spans="1:2" x14ac:dyDescent="0.3">
      <c r="A402" s="7">
        <v>4</v>
      </c>
      <c r="B402" s="7">
        <v>6</v>
      </c>
    </row>
    <row r="403" spans="1:2" x14ac:dyDescent="0.3">
      <c r="A403" s="7">
        <v>3</v>
      </c>
      <c r="B403" s="7">
        <v>7</v>
      </c>
    </row>
    <row r="404" spans="1:2" x14ac:dyDescent="0.3">
      <c r="A404" s="7">
        <v>4</v>
      </c>
      <c r="B404" s="7">
        <v>7</v>
      </c>
    </row>
    <row r="405" spans="1:2" x14ac:dyDescent="0.3">
      <c r="A405" s="7">
        <v>7</v>
      </c>
      <c r="B405" s="7">
        <v>7</v>
      </c>
    </row>
    <row r="406" spans="1:2" x14ac:dyDescent="0.3">
      <c r="A406" s="7">
        <v>6</v>
      </c>
      <c r="B406" s="7">
        <v>6</v>
      </c>
    </row>
    <row r="407" spans="1:2" x14ac:dyDescent="0.3">
      <c r="A407" s="7">
        <v>2</v>
      </c>
      <c r="B407" s="7">
        <v>8</v>
      </c>
    </row>
    <row r="408" spans="1:2" x14ac:dyDescent="0.3">
      <c r="A408" s="7">
        <v>2</v>
      </c>
      <c r="B408" s="7">
        <v>7</v>
      </c>
    </row>
    <row r="409" spans="1:2" x14ac:dyDescent="0.3">
      <c r="A409" s="7">
        <v>4</v>
      </c>
      <c r="B409" s="7">
        <v>7</v>
      </c>
    </row>
    <row r="410" spans="1:2" x14ac:dyDescent="0.3">
      <c r="A410" s="7">
        <v>5</v>
      </c>
      <c r="B410" s="7">
        <v>7</v>
      </c>
    </row>
    <row r="411" spans="1:2" x14ac:dyDescent="0.3">
      <c r="A411" s="7">
        <v>3</v>
      </c>
      <c r="B411" s="7">
        <v>8</v>
      </c>
    </row>
    <row r="412" spans="1:2" x14ac:dyDescent="0.3">
      <c r="A412" s="7">
        <v>6</v>
      </c>
      <c r="B412" s="7">
        <v>7</v>
      </c>
    </row>
    <row r="413" spans="1:2" x14ac:dyDescent="0.3">
      <c r="A413" s="7">
        <v>6</v>
      </c>
      <c r="B413" s="7">
        <v>6</v>
      </c>
    </row>
    <row r="414" spans="1:2" x14ac:dyDescent="0.3">
      <c r="A414" s="7">
        <v>5</v>
      </c>
      <c r="B414" s="7">
        <v>6</v>
      </c>
    </row>
    <row r="415" spans="1:2" x14ac:dyDescent="0.3">
      <c r="A415" s="7">
        <v>3</v>
      </c>
      <c r="B415" s="7">
        <v>8</v>
      </c>
    </row>
    <row r="416" spans="1:2" x14ac:dyDescent="0.3">
      <c r="A416" s="7">
        <v>3</v>
      </c>
      <c r="B416" s="7">
        <v>8</v>
      </c>
    </row>
    <row r="417" spans="1:2" x14ac:dyDescent="0.3">
      <c r="A417" s="7">
        <v>1</v>
      </c>
      <c r="B417" s="7">
        <v>7</v>
      </c>
    </row>
    <row r="418" spans="1:2" x14ac:dyDescent="0.3">
      <c r="A418" s="7">
        <v>3</v>
      </c>
      <c r="B418" s="7">
        <v>8</v>
      </c>
    </row>
    <row r="419" spans="1:2" x14ac:dyDescent="0.3">
      <c r="A419" s="7">
        <v>4</v>
      </c>
      <c r="B419" s="7">
        <v>7</v>
      </c>
    </row>
    <row r="420" spans="1:2" x14ac:dyDescent="0.3">
      <c r="A420" s="7">
        <v>7</v>
      </c>
      <c r="B420" s="7">
        <v>7</v>
      </c>
    </row>
    <row r="421" spans="1:2" x14ac:dyDescent="0.3">
      <c r="A421" s="7">
        <v>2</v>
      </c>
      <c r="B421" s="7">
        <v>8</v>
      </c>
    </row>
    <row r="422" spans="1:2" x14ac:dyDescent="0.3">
      <c r="A422" s="7">
        <v>4</v>
      </c>
      <c r="B422" s="7">
        <v>8</v>
      </c>
    </row>
    <row r="423" spans="1:2" x14ac:dyDescent="0.3">
      <c r="A423" s="7">
        <v>5</v>
      </c>
      <c r="B423" s="7">
        <v>8</v>
      </c>
    </row>
    <row r="424" spans="1:2" x14ac:dyDescent="0.3">
      <c r="A424" s="7">
        <v>3</v>
      </c>
      <c r="B424" s="7">
        <v>7</v>
      </c>
    </row>
    <row r="425" spans="1:2" x14ac:dyDescent="0.3">
      <c r="A425" s="7">
        <v>5</v>
      </c>
      <c r="B425" s="7">
        <v>8</v>
      </c>
    </row>
    <row r="426" spans="1:2" x14ac:dyDescent="0.3">
      <c r="A426" s="7">
        <v>4</v>
      </c>
      <c r="B426" s="7">
        <v>8</v>
      </c>
    </row>
    <row r="427" spans="1:2" x14ac:dyDescent="0.3">
      <c r="A427" s="7">
        <v>3</v>
      </c>
      <c r="B427" s="7">
        <v>8</v>
      </c>
    </row>
    <row r="428" spans="1:2" x14ac:dyDescent="0.3">
      <c r="A428" s="7">
        <v>5</v>
      </c>
      <c r="B428" s="7">
        <v>6</v>
      </c>
    </row>
    <row r="429" spans="1:2" x14ac:dyDescent="0.3">
      <c r="A429" s="7">
        <v>0</v>
      </c>
      <c r="B429" s="7">
        <v>8</v>
      </c>
    </row>
    <row r="430" spans="1:2" x14ac:dyDescent="0.3">
      <c r="A430" s="7">
        <v>6</v>
      </c>
      <c r="B430" s="7">
        <v>7</v>
      </c>
    </row>
    <row r="431" spans="1:2" x14ac:dyDescent="0.3">
      <c r="A431" s="7">
        <v>6</v>
      </c>
      <c r="B431" s="7">
        <v>6</v>
      </c>
    </row>
    <row r="432" spans="1:2" x14ac:dyDescent="0.3">
      <c r="A432" s="7">
        <v>2</v>
      </c>
      <c r="B432" s="7">
        <v>7</v>
      </c>
    </row>
    <row r="433" spans="1:2" x14ac:dyDescent="0.3">
      <c r="A433" s="7">
        <v>4</v>
      </c>
      <c r="B433" s="7">
        <v>6</v>
      </c>
    </row>
    <row r="434" spans="1:2" x14ac:dyDescent="0.3">
      <c r="A434" s="7">
        <v>2</v>
      </c>
      <c r="B434" s="7">
        <v>7</v>
      </c>
    </row>
    <row r="435" spans="1:2" x14ac:dyDescent="0.3">
      <c r="A435" s="7">
        <v>9</v>
      </c>
      <c r="B435" s="7">
        <v>5</v>
      </c>
    </row>
    <row r="436" spans="1:2" x14ac:dyDescent="0.3">
      <c r="A436" s="7">
        <v>4</v>
      </c>
      <c r="B436" s="7">
        <v>8</v>
      </c>
    </row>
    <row r="437" spans="1:2" x14ac:dyDescent="0.3">
      <c r="A437" s="7">
        <v>1</v>
      </c>
      <c r="B437" s="7">
        <v>8</v>
      </c>
    </row>
    <row r="438" spans="1:2" x14ac:dyDescent="0.3">
      <c r="A438" s="7">
        <v>3</v>
      </c>
      <c r="B438" s="7">
        <v>8</v>
      </c>
    </row>
    <row r="439" spans="1:2" x14ac:dyDescent="0.3">
      <c r="A439" s="7">
        <v>7</v>
      </c>
      <c r="B439" s="7">
        <v>6</v>
      </c>
    </row>
    <row r="440" spans="1:2" x14ac:dyDescent="0.3">
      <c r="A440" s="7">
        <v>4</v>
      </c>
      <c r="B440" s="7">
        <v>6</v>
      </c>
    </row>
    <row r="441" spans="1:2" x14ac:dyDescent="0.3">
      <c r="A441" s="7">
        <v>6</v>
      </c>
      <c r="B441" s="7">
        <v>7</v>
      </c>
    </row>
    <row r="442" spans="1:2" x14ac:dyDescent="0.3">
      <c r="A442" s="7">
        <v>5</v>
      </c>
      <c r="B442" s="7">
        <v>7</v>
      </c>
    </row>
    <row r="443" spans="1:2" x14ac:dyDescent="0.3">
      <c r="A443" s="7">
        <v>10</v>
      </c>
      <c r="B443" s="7">
        <v>6</v>
      </c>
    </row>
    <row r="444" spans="1:2" x14ac:dyDescent="0.3">
      <c r="A444" s="7">
        <v>5</v>
      </c>
      <c r="B444" s="7">
        <v>6</v>
      </c>
    </row>
    <row r="445" spans="1:2" x14ac:dyDescent="0.3">
      <c r="A445" s="7">
        <v>9</v>
      </c>
      <c r="B445" s="7">
        <v>6</v>
      </c>
    </row>
    <row r="446" spans="1:2" x14ac:dyDescent="0.3">
      <c r="A446" s="7">
        <v>7</v>
      </c>
      <c r="B446" s="7">
        <v>6</v>
      </c>
    </row>
    <row r="447" spans="1:2" x14ac:dyDescent="0.3">
      <c r="A447" s="7">
        <v>5</v>
      </c>
      <c r="B447" s="7">
        <v>7</v>
      </c>
    </row>
    <row r="448" spans="1:2" x14ac:dyDescent="0.3">
      <c r="A448" s="7">
        <v>5</v>
      </c>
      <c r="B448" s="7">
        <v>7</v>
      </c>
    </row>
    <row r="449" spans="1:2" x14ac:dyDescent="0.3">
      <c r="A449" s="7">
        <v>4</v>
      </c>
      <c r="B449" s="7">
        <v>7</v>
      </c>
    </row>
    <row r="450" spans="1:2" x14ac:dyDescent="0.3">
      <c r="A450" s="7">
        <v>6</v>
      </c>
      <c r="B450" s="7">
        <v>6</v>
      </c>
    </row>
    <row r="451" spans="1:2" x14ac:dyDescent="0.3">
      <c r="A451" s="7">
        <v>4</v>
      </c>
      <c r="B451" s="7">
        <v>7</v>
      </c>
    </row>
    <row r="452" spans="1:2" x14ac:dyDescent="0.3">
      <c r="A452" s="7">
        <v>7</v>
      </c>
      <c r="B452" s="7">
        <v>7</v>
      </c>
    </row>
    <row r="453" spans="1:2" x14ac:dyDescent="0.3">
      <c r="A453" s="7">
        <v>6</v>
      </c>
      <c r="B453" s="7">
        <v>7</v>
      </c>
    </row>
    <row r="454" spans="1:2" x14ac:dyDescent="0.3">
      <c r="A454" s="7">
        <v>4</v>
      </c>
      <c r="B454" s="7">
        <v>7</v>
      </c>
    </row>
    <row r="455" spans="1:2" x14ac:dyDescent="0.3">
      <c r="A455" s="7">
        <v>3</v>
      </c>
      <c r="B455" s="7">
        <v>8</v>
      </c>
    </row>
    <row r="456" spans="1:2" x14ac:dyDescent="0.3">
      <c r="A456" s="7">
        <v>3</v>
      </c>
      <c r="B456" s="7">
        <v>7</v>
      </c>
    </row>
    <row r="457" spans="1:2" x14ac:dyDescent="0.3">
      <c r="A457" s="7">
        <v>5</v>
      </c>
      <c r="B457" s="7">
        <v>6</v>
      </c>
    </row>
    <row r="458" spans="1:2" x14ac:dyDescent="0.3">
      <c r="A458" s="7">
        <v>6</v>
      </c>
      <c r="B458" s="7">
        <v>7</v>
      </c>
    </row>
    <row r="459" spans="1:2" x14ac:dyDescent="0.3">
      <c r="A459" s="7">
        <v>4</v>
      </c>
      <c r="B459" s="7">
        <v>9</v>
      </c>
    </row>
    <row r="460" spans="1:2" x14ac:dyDescent="0.3">
      <c r="A460" s="7">
        <v>5</v>
      </c>
      <c r="B460" s="7">
        <v>7</v>
      </c>
    </row>
    <row r="461" spans="1:2" x14ac:dyDescent="0.3">
      <c r="A461" s="7">
        <v>3</v>
      </c>
      <c r="B461" s="7">
        <v>7</v>
      </c>
    </row>
    <row r="462" spans="1:2" x14ac:dyDescent="0.3">
      <c r="A462" s="7">
        <v>2</v>
      </c>
      <c r="B462" s="7">
        <v>9</v>
      </c>
    </row>
    <row r="463" spans="1:2" x14ac:dyDescent="0.3">
      <c r="A463" s="7">
        <v>3</v>
      </c>
      <c r="B463" s="7">
        <v>7</v>
      </c>
    </row>
    <row r="464" spans="1:2" x14ac:dyDescent="0.3">
      <c r="A464" s="7">
        <v>3</v>
      </c>
      <c r="B464" s="7">
        <v>7</v>
      </c>
    </row>
    <row r="465" spans="1:2" x14ac:dyDescent="0.3">
      <c r="A465" s="7">
        <v>3</v>
      </c>
      <c r="B465" s="7">
        <v>8</v>
      </c>
    </row>
    <row r="466" spans="1:2" x14ac:dyDescent="0.3">
      <c r="A466" s="7">
        <v>4</v>
      </c>
      <c r="B466" s="7">
        <v>7</v>
      </c>
    </row>
    <row r="467" spans="1:2" x14ac:dyDescent="0.3">
      <c r="A467" s="7">
        <v>2</v>
      </c>
      <c r="B467" s="7">
        <v>7</v>
      </c>
    </row>
    <row r="468" spans="1:2" x14ac:dyDescent="0.3">
      <c r="A468" s="7">
        <v>3</v>
      </c>
      <c r="B468" s="7">
        <v>8</v>
      </c>
    </row>
    <row r="469" spans="1:2" x14ac:dyDescent="0.3">
      <c r="A469" s="7">
        <v>5</v>
      </c>
      <c r="B469" s="7">
        <v>7</v>
      </c>
    </row>
    <row r="470" spans="1:2" x14ac:dyDescent="0.3">
      <c r="A470" s="7">
        <v>5</v>
      </c>
      <c r="B470" s="7">
        <v>7</v>
      </c>
    </row>
    <row r="471" spans="1:2" x14ac:dyDescent="0.3">
      <c r="A471" s="7">
        <v>1</v>
      </c>
      <c r="B471" s="7">
        <v>7</v>
      </c>
    </row>
    <row r="472" spans="1:2" x14ac:dyDescent="0.3">
      <c r="A472" s="7">
        <v>4</v>
      </c>
      <c r="B472" s="7">
        <v>7</v>
      </c>
    </row>
    <row r="473" spans="1:2" x14ac:dyDescent="0.3">
      <c r="A473" s="7">
        <v>4</v>
      </c>
      <c r="B473" s="7">
        <v>6</v>
      </c>
    </row>
    <row r="474" spans="1:2" x14ac:dyDescent="0.3">
      <c r="A474" s="7">
        <v>4</v>
      </c>
      <c r="B474" s="7">
        <v>6</v>
      </c>
    </row>
    <row r="475" spans="1:2" x14ac:dyDescent="0.3">
      <c r="A475" s="7">
        <v>3</v>
      </c>
      <c r="B475" s="7">
        <v>8</v>
      </c>
    </row>
    <row r="476" spans="1:2" x14ac:dyDescent="0.3">
      <c r="A476" s="7">
        <v>4</v>
      </c>
      <c r="B476" s="7">
        <v>8</v>
      </c>
    </row>
    <row r="477" spans="1:2" x14ac:dyDescent="0.3">
      <c r="A477" s="7">
        <v>7</v>
      </c>
      <c r="B477" s="7">
        <v>6</v>
      </c>
    </row>
    <row r="478" spans="1:2" x14ac:dyDescent="0.3">
      <c r="A478" s="7">
        <v>5</v>
      </c>
      <c r="B478" s="7">
        <v>7</v>
      </c>
    </row>
    <row r="479" spans="1:2" x14ac:dyDescent="0.3">
      <c r="A479" s="7">
        <v>5</v>
      </c>
      <c r="B479" s="7">
        <v>7</v>
      </c>
    </row>
    <row r="480" spans="1:2" x14ac:dyDescent="0.3">
      <c r="A480" s="7">
        <v>7</v>
      </c>
      <c r="B480" s="7">
        <v>8</v>
      </c>
    </row>
    <row r="481" spans="1:2" x14ac:dyDescent="0.3">
      <c r="A481" s="7">
        <v>6</v>
      </c>
      <c r="B481" s="7">
        <v>7</v>
      </c>
    </row>
    <row r="482" spans="1:2" x14ac:dyDescent="0.3">
      <c r="A482" s="7">
        <v>4</v>
      </c>
      <c r="B482" s="7">
        <v>7</v>
      </c>
    </row>
    <row r="483" spans="1:2" x14ac:dyDescent="0.3">
      <c r="A483" s="7">
        <v>0</v>
      </c>
      <c r="B483" s="7">
        <v>7</v>
      </c>
    </row>
    <row r="484" spans="1:2" x14ac:dyDescent="0.3">
      <c r="A484" s="7">
        <v>3</v>
      </c>
      <c r="B484" s="7">
        <v>6</v>
      </c>
    </row>
    <row r="485" spans="1:2" x14ac:dyDescent="0.3">
      <c r="A485" s="7">
        <v>6</v>
      </c>
      <c r="B485" s="7">
        <v>7</v>
      </c>
    </row>
    <row r="486" spans="1:2" x14ac:dyDescent="0.3">
      <c r="A486" s="7">
        <v>7</v>
      </c>
      <c r="B486" s="7">
        <v>6</v>
      </c>
    </row>
    <row r="487" spans="1:2" x14ac:dyDescent="0.3">
      <c r="A487" s="7">
        <v>9</v>
      </c>
      <c r="B487" s="7">
        <v>5</v>
      </c>
    </row>
    <row r="488" spans="1:2" x14ac:dyDescent="0.3">
      <c r="A488" s="7">
        <v>4</v>
      </c>
      <c r="B488" s="7">
        <v>7</v>
      </c>
    </row>
    <row r="489" spans="1:2" x14ac:dyDescent="0.3">
      <c r="A489" s="7">
        <v>6</v>
      </c>
      <c r="B489" s="7">
        <v>6</v>
      </c>
    </row>
    <row r="490" spans="1:2" x14ac:dyDescent="0.3">
      <c r="A490" s="7">
        <v>4</v>
      </c>
      <c r="B490" s="7">
        <v>8</v>
      </c>
    </row>
    <row r="491" spans="1:2" x14ac:dyDescent="0.3">
      <c r="A491" s="7">
        <v>5</v>
      </c>
      <c r="B491" s="7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"/>
  <sheetViews>
    <sheetView topLeftCell="A66" workbookViewId="0">
      <selection activeCell="B2" sqref="B1:B1048576"/>
    </sheetView>
  </sheetViews>
  <sheetFormatPr baseColWidth="10" defaultColWidth="8.88671875" defaultRowHeight="14.4" x14ac:dyDescent="0.3"/>
  <cols>
    <col min="1" max="1" width="78.44140625" customWidth="1"/>
    <col min="2" max="3" width="4" bestFit="1" customWidth="1"/>
    <col min="4" max="4" width="6.5546875" bestFit="1" customWidth="1"/>
    <col min="5" max="5" width="6.44140625" bestFit="1" customWidth="1"/>
    <col min="6" max="6" width="6.5546875" bestFit="1" customWidth="1"/>
    <col min="7" max="7" width="6.44140625" bestFit="1" customWidth="1"/>
    <col min="9" max="9" width="19.109375" customWidth="1"/>
    <col min="10" max="10" width="8.109375" customWidth="1"/>
    <col min="11" max="11" width="45.44140625" customWidth="1"/>
  </cols>
  <sheetData>
    <row r="1" spans="1:11" ht="15" x14ac:dyDescent="0.35">
      <c r="A1" s="42" t="s">
        <v>167</v>
      </c>
      <c r="B1" s="43"/>
      <c r="C1" s="43"/>
      <c r="D1" s="43"/>
      <c r="E1" s="43"/>
      <c r="F1" s="43"/>
      <c r="G1" s="43"/>
      <c r="H1" s="4"/>
      <c r="I1" s="4"/>
      <c r="J1" s="4"/>
      <c r="K1" s="4"/>
    </row>
    <row r="2" spans="1:1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8.8" x14ac:dyDescent="0.3">
      <c r="A3" s="30" t="s">
        <v>168</v>
      </c>
      <c r="B3" s="30" t="s">
        <v>136</v>
      </c>
      <c r="C3" s="30" t="s">
        <v>137</v>
      </c>
      <c r="D3" s="30" t="s">
        <v>138</v>
      </c>
      <c r="E3" s="30" t="s">
        <v>139</v>
      </c>
      <c r="F3" s="30" t="s">
        <v>140</v>
      </c>
      <c r="G3" s="30" t="s">
        <v>141</v>
      </c>
      <c r="H3" s="4"/>
      <c r="I3" s="30" t="s">
        <v>102</v>
      </c>
      <c r="J3" s="30" t="s">
        <v>103</v>
      </c>
      <c r="K3" s="30" t="s">
        <v>110</v>
      </c>
    </row>
    <row r="4" spans="1:11" x14ac:dyDescent="0.3">
      <c r="A4" s="4">
        <v>0</v>
      </c>
      <c r="B4" s="4">
        <f>COUNTIF(Datos_catedra!$A$2:$A$491,A4)</f>
        <v>11</v>
      </c>
      <c r="C4" s="4">
        <f>SUM($B$4:B4)</f>
        <v>11</v>
      </c>
      <c r="D4" s="31">
        <f t="shared" ref="D4:D16" si="0">B4/SUM($B$4:$B$16)</f>
        <v>2.2448979591836733E-2</v>
      </c>
      <c r="E4" s="31">
        <f t="shared" ref="E4:E16" si="1">C4/SUM($B$4:$B$16)</f>
        <v>2.2448979591836733E-2</v>
      </c>
      <c r="F4" s="8">
        <f t="shared" ref="F4:F16" si="2">D4*100</f>
        <v>2.2448979591836733</v>
      </c>
      <c r="G4" s="8">
        <f t="shared" ref="G4:G16" si="3">E4*100</f>
        <v>2.2448979591836733</v>
      </c>
      <c r="H4" s="4"/>
      <c r="I4" s="4" t="s">
        <v>107</v>
      </c>
      <c r="J4" s="24">
        <f>AVERAGE(Datos_catedra!$A$2:$A$491)</f>
        <v>4.4734693877551024</v>
      </c>
      <c r="K4" s="4" t="s">
        <v>169</v>
      </c>
    </row>
    <row r="5" spans="1:11" ht="28.8" x14ac:dyDescent="0.3">
      <c r="A5" s="4">
        <v>1</v>
      </c>
      <c r="B5" s="4">
        <f>COUNTIF(Datos_catedra!$A$2:$A$491,A5)</f>
        <v>18</v>
      </c>
      <c r="C5" s="4">
        <f>SUM($B$4:B5)</f>
        <v>29</v>
      </c>
      <c r="D5" s="31">
        <f t="shared" si="0"/>
        <v>3.6734693877551024E-2</v>
      </c>
      <c r="E5" s="31">
        <f t="shared" si="1"/>
        <v>5.9183673469387757E-2</v>
      </c>
      <c r="F5" s="8">
        <f t="shared" si="2"/>
        <v>3.6734693877551026</v>
      </c>
      <c r="G5" s="8">
        <f t="shared" si="3"/>
        <v>5.9183673469387754</v>
      </c>
      <c r="H5" s="4"/>
      <c r="I5" s="4" t="s">
        <v>64</v>
      </c>
      <c r="J5" s="24">
        <f>MEDIAN(Datos_catedra!$A$2:$A$491)</f>
        <v>4</v>
      </c>
      <c r="K5" s="4" t="s">
        <v>170</v>
      </c>
    </row>
    <row r="6" spans="1:11" x14ac:dyDescent="0.3">
      <c r="A6" s="4">
        <v>2</v>
      </c>
      <c r="B6" s="4">
        <f>COUNTIF(Datos_catedra!$A$2:$A$491,A6)</f>
        <v>52</v>
      </c>
      <c r="C6" s="4">
        <f>SUM($B$4:B6)</f>
        <v>81</v>
      </c>
      <c r="D6" s="31">
        <f t="shared" si="0"/>
        <v>0.10612244897959183</v>
      </c>
      <c r="E6" s="31">
        <f t="shared" si="1"/>
        <v>0.1653061224489796</v>
      </c>
      <c r="F6" s="8">
        <f t="shared" si="2"/>
        <v>10.612244897959183</v>
      </c>
      <c r="G6" s="8">
        <f t="shared" si="3"/>
        <v>16.530612244897959</v>
      </c>
      <c r="H6" s="4"/>
      <c r="I6" s="4" t="s">
        <v>108</v>
      </c>
      <c r="J6" s="24">
        <f>INDEX($A$4:$A$16,MATCH(MAX($B$4:$B$16),$B$4:$B$16,0))</f>
        <v>3</v>
      </c>
      <c r="K6" s="4" t="s">
        <v>171</v>
      </c>
    </row>
    <row r="7" spans="1:11" x14ac:dyDescent="0.3">
      <c r="A7" s="4">
        <v>3</v>
      </c>
      <c r="B7" s="4">
        <f>COUNTIF(Datos_catedra!$A$2:$A$491,A7)</f>
        <v>102</v>
      </c>
      <c r="C7" s="4">
        <f>SUM($B$4:B7)</f>
        <v>183</v>
      </c>
      <c r="D7" s="31">
        <f t="shared" si="0"/>
        <v>0.20816326530612245</v>
      </c>
      <c r="E7" s="31">
        <f t="shared" si="1"/>
        <v>0.37346938775510202</v>
      </c>
      <c r="F7" s="8">
        <f t="shared" si="2"/>
        <v>20.816326530612244</v>
      </c>
      <c r="G7" s="8">
        <f t="shared" si="3"/>
        <v>37.346938775510203</v>
      </c>
      <c r="H7" s="4"/>
      <c r="I7" s="4" t="s">
        <v>117</v>
      </c>
      <c r="J7" s="24">
        <f>SUMPRODUCT($B$4:$B$16,($A$4:$A$16-J4)*($A$4:$A$16-J4))/(SUM($B$4:$B$16)-1)</f>
        <v>5.0350820082634273</v>
      </c>
      <c r="K7" s="4" t="s">
        <v>172</v>
      </c>
    </row>
    <row r="8" spans="1:11" x14ac:dyDescent="0.3">
      <c r="A8" s="4">
        <v>4</v>
      </c>
      <c r="B8" s="4">
        <f>COUNTIF(Datos_catedra!$A$2:$A$491,A8)</f>
        <v>92</v>
      </c>
      <c r="C8" s="4">
        <f>SUM($B$4:B8)</f>
        <v>275</v>
      </c>
      <c r="D8" s="31">
        <f t="shared" si="0"/>
        <v>0.18775510204081633</v>
      </c>
      <c r="E8" s="31">
        <f t="shared" si="1"/>
        <v>0.56122448979591832</v>
      </c>
      <c r="F8" s="8">
        <f t="shared" si="2"/>
        <v>18.775510204081634</v>
      </c>
      <c r="G8" s="8">
        <f t="shared" si="3"/>
        <v>56.12244897959183</v>
      </c>
      <c r="H8" s="4"/>
      <c r="I8" s="4" t="s">
        <v>121</v>
      </c>
      <c r="J8" s="24">
        <f>SQRT(J7)</f>
        <v>2.2438988409158349</v>
      </c>
      <c r="K8" s="4" t="s">
        <v>173</v>
      </c>
    </row>
    <row r="9" spans="1:11" ht="28.8" x14ac:dyDescent="0.3">
      <c r="A9" s="4">
        <v>5</v>
      </c>
      <c r="B9" s="4">
        <f>COUNTIF(Datos_catedra!$A$2:$A$491,A9)</f>
        <v>81</v>
      </c>
      <c r="C9" s="4">
        <f>SUM($B$4:B9)</f>
        <v>356</v>
      </c>
      <c r="D9" s="31">
        <f t="shared" si="0"/>
        <v>0.1653061224489796</v>
      </c>
      <c r="E9" s="31">
        <f t="shared" si="1"/>
        <v>0.72653061224489801</v>
      </c>
      <c r="F9" s="8">
        <f t="shared" si="2"/>
        <v>16.530612244897959</v>
      </c>
      <c r="G9" s="8">
        <f t="shared" si="3"/>
        <v>72.653061224489804</v>
      </c>
      <c r="H9" s="4"/>
      <c r="I9" s="4" t="s">
        <v>122</v>
      </c>
      <c r="J9" s="29">
        <f>J8/J4</f>
        <v>0.50160147447479886</v>
      </c>
      <c r="K9" s="29" t="s">
        <v>174</v>
      </c>
    </row>
    <row r="10" spans="1:11" x14ac:dyDescent="0.3">
      <c r="A10" s="4">
        <v>6</v>
      </c>
      <c r="B10" s="4">
        <f>COUNTIF(Datos_catedra!$A$2:$A$491,A10)</f>
        <v>44</v>
      </c>
      <c r="C10" s="4">
        <f>SUM($B$4:B10)</f>
        <v>400</v>
      </c>
      <c r="D10" s="31">
        <f t="shared" si="0"/>
        <v>8.9795918367346933E-2</v>
      </c>
      <c r="E10" s="31">
        <f t="shared" si="1"/>
        <v>0.81632653061224492</v>
      </c>
      <c r="F10" s="8">
        <f t="shared" si="2"/>
        <v>8.9795918367346932</v>
      </c>
      <c r="G10" s="8">
        <f t="shared" si="3"/>
        <v>81.632653061224488</v>
      </c>
      <c r="H10" s="4"/>
      <c r="I10" s="4" t="s">
        <v>175</v>
      </c>
      <c r="J10" s="24">
        <f>SKEW(Datos_catedra!$A$2:$A$491)</f>
        <v>0.66313034024278628</v>
      </c>
      <c r="K10" s="4" t="s">
        <v>176</v>
      </c>
    </row>
    <row r="11" spans="1:11" x14ac:dyDescent="0.3">
      <c r="A11" s="4">
        <v>7</v>
      </c>
      <c r="B11" s="4">
        <f>COUNTIF(Datos_catedra!$A$2:$A$491,A11)</f>
        <v>45</v>
      </c>
      <c r="C11" s="4">
        <f>SUM($B$4:B11)</f>
        <v>445</v>
      </c>
      <c r="D11" s="31">
        <f t="shared" si="0"/>
        <v>9.1836734693877556E-2</v>
      </c>
      <c r="E11" s="31">
        <f t="shared" si="1"/>
        <v>0.90816326530612246</v>
      </c>
      <c r="F11" s="8">
        <f t="shared" si="2"/>
        <v>9.183673469387756</v>
      </c>
      <c r="G11" s="8">
        <f t="shared" si="3"/>
        <v>90.816326530612244</v>
      </c>
      <c r="H11" s="4"/>
      <c r="I11" s="4" t="s">
        <v>114</v>
      </c>
      <c r="J11" s="24">
        <f>KURT(Datos_catedra!$A$2:$A$491)</f>
        <v>0.53022051734762643</v>
      </c>
      <c r="K11" s="4" t="s">
        <v>177</v>
      </c>
    </row>
    <row r="12" spans="1:11" x14ac:dyDescent="0.3">
      <c r="A12" s="4">
        <v>8</v>
      </c>
      <c r="B12" s="4">
        <f>COUNTIF(Datos_catedra!$A$2:$A$491,A12)</f>
        <v>17</v>
      </c>
      <c r="C12" s="4">
        <f>SUM($B$4:B12)</f>
        <v>462</v>
      </c>
      <c r="D12" s="31">
        <f t="shared" si="0"/>
        <v>3.4693877551020408E-2</v>
      </c>
      <c r="E12" s="31">
        <f t="shared" si="1"/>
        <v>0.94285714285714284</v>
      </c>
      <c r="F12" s="8">
        <f t="shared" si="2"/>
        <v>3.4693877551020407</v>
      </c>
      <c r="G12" s="8">
        <f t="shared" si="3"/>
        <v>94.285714285714278</v>
      </c>
      <c r="H12" s="4"/>
      <c r="I12" s="4"/>
      <c r="J12" s="4"/>
      <c r="K12" s="4"/>
    </row>
    <row r="13" spans="1:11" x14ac:dyDescent="0.3">
      <c r="A13" s="4">
        <v>9</v>
      </c>
      <c r="B13" s="4">
        <f>COUNTIF(Datos_catedra!$A$2:$A$491,A13)</f>
        <v>14</v>
      </c>
      <c r="C13" s="4">
        <f>SUM($B$4:B13)</f>
        <v>476</v>
      </c>
      <c r="D13" s="31">
        <f t="shared" si="0"/>
        <v>2.8571428571428571E-2</v>
      </c>
      <c r="E13" s="31">
        <f t="shared" si="1"/>
        <v>0.97142857142857142</v>
      </c>
      <c r="F13" s="8">
        <f t="shared" si="2"/>
        <v>2.8571428571428572</v>
      </c>
      <c r="G13" s="8">
        <f t="shared" si="3"/>
        <v>97.142857142857139</v>
      </c>
      <c r="H13" s="4"/>
      <c r="I13" s="4"/>
      <c r="J13" s="4"/>
      <c r="K13" s="4"/>
    </row>
    <row r="14" spans="1:11" x14ac:dyDescent="0.3">
      <c r="A14" s="4">
        <v>10</v>
      </c>
      <c r="B14" s="4">
        <f>COUNTIF(Datos_catedra!$A$2:$A$491,A14)</f>
        <v>7</v>
      </c>
      <c r="C14" s="4">
        <f>SUM($B$4:B14)</f>
        <v>483</v>
      </c>
      <c r="D14" s="31">
        <f t="shared" si="0"/>
        <v>1.4285714285714285E-2</v>
      </c>
      <c r="E14" s="31">
        <f t="shared" si="1"/>
        <v>0.98571428571428577</v>
      </c>
      <c r="F14" s="8">
        <f t="shared" si="2"/>
        <v>1.4285714285714286</v>
      </c>
      <c r="G14" s="8">
        <f t="shared" si="3"/>
        <v>98.571428571428584</v>
      </c>
      <c r="H14" s="4"/>
      <c r="I14" s="4"/>
      <c r="J14" s="4"/>
      <c r="K14" s="4"/>
    </row>
    <row r="15" spans="1:11" x14ac:dyDescent="0.3">
      <c r="A15" s="4">
        <v>11</v>
      </c>
      <c r="B15" s="4">
        <f>COUNTIF(Datos_catedra!$A$2:$A$491,A15)</f>
        <v>4</v>
      </c>
      <c r="C15" s="4">
        <f>SUM($B$4:B15)</f>
        <v>487</v>
      </c>
      <c r="D15" s="31">
        <f t="shared" si="0"/>
        <v>8.1632653061224497E-3</v>
      </c>
      <c r="E15" s="31">
        <f t="shared" si="1"/>
        <v>0.9938775510204082</v>
      </c>
      <c r="F15" s="8">
        <f t="shared" si="2"/>
        <v>0.81632653061224492</v>
      </c>
      <c r="G15" s="8">
        <f t="shared" si="3"/>
        <v>99.387755102040813</v>
      </c>
      <c r="H15" s="4"/>
      <c r="I15" s="4"/>
      <c r="J15" s="4"/>
      <c r="K15" s="4"/>
    </row>
    <row r="16" spans="1:11" x14ac:dyDescent="0.3">
      <c r="A16" s="4">
        <v>12</v>
      </c>
      <c r="B16" s="4">
        <f>COUNTIF(Datos_catedra!$A$2:$A$491,A16)</f>
        <v>3</v>
      </c>
      <c r="C16" s="4">
        <f>SUM($B$4:B16)</f>
        <v>490</v>
      </c>
      <c r="D16" s="31">
        <f t="shared" si="0"/>
        <v>6.1224489795918364E-3</v>
      </c>
      <c r="E16" s="31">
        <f t="shared" si="1"/>
        <v>1</v>
      </c>
      <c r="F16" s="8">
        <f t="shared" si="2"/>
        <v>0.61224489795918369</v>
      </c>
      <c r="G16" s="8">
        <f t="shared" si="3"/>
        <v>100</v>
      </c>
      <c r="H16" s="4"/>
      <c r="I16" s="4"/>
      <c r="J16" s="4"/>
      <c r="K16" s="4"/>
    </row>
    <row r="17" spans="1:11" x14ac:dyDescent="0.3">
      <c r="A17" s="32" t="s">
        <v>178</v>
      </c>
      <c r="B17" s="32">
        <v>490</v>
      </c>
      <c r="C17" s="32"/>
      <c r="D17" s="33">
        <v>1</v>
      </c>
      <c r="E17" s="33"/>
      <c r="F17" s="34">
        <v>100</v>
      </c>
      <c r="G17" s="34"/>
      <c r="H17" s="4"/>
      <c r="I17" s="4"/>
      <c r="J17" s="4"/>
      <c r="K17" s="4"/>
    </row>
    <row r="18" spans="1:1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">
    <mergeCell ref="A1:G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"/>
  <sheetViews>
    <sheetView tabSelected="1" topLeftCell="A5" workbookViewId="0">
      <selection sqref="A1:E1"/>
    </sheetView>
  </sheetViews>
  <sheetFormatPr baseColWidth="10" defaultColWidth="8.88671875" defaultRowHeight="14.4" x14ac:dyDescent="0.3"/>
  <cols>
    <col min="1" max="1" width="63.88671875" customWidth="1"/>
    <col min="2" max="2" width="15.109375" customWidth="1"/>
    <col min="3" max="3" width="14.77734375" customWidth="1"/>
    <col min="4" max="4" width="8.21875" customWidth="1"/>
    <col min="5" max="5" width="47.21875" customWidth="1"/>
  </cols>
  <sheetData>
    <row r="1" spans="1:11" ht="15" x14ac:dyDescent="0.35">
      <c r="A1" s="42" t="s">
        <v>179</v>
      </c>
      <c r="B1" s="43"/>
      <c r="C1" s="43"/>
      <c r="D1" s="43"/>
      <c r="E1" s="43"/>
      <c r="F1" s="4"/>
      <c r="G1" s="4"/>
      <c r="H1" s="4"/>
      <c r="I1" s="4"/>
      <c r="J1" s="4"/>
      <c r="K1" s="4"/>
    </row>
    <row r="2" spans="1:1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8.8" x14ac:dyDescent="0.3">
      <c r="A3" s="30" t="s">
        <v>102</v>
      </c>
      <c r="B3" s="30" t="s">
        <v>180</v>
      </c>
      <c r="C3" s="30" t="s">
        <v>181</v>
      </c>
      <c r="D3" s="30" t="s">
        <v>182</v>
      </c>
      <c r="E3" s="30" t="s">
        <v>110</v>
      </c>
      <c r="F3" s="4"/>
      <c r="G3" s="4"/>
      <c r="H3" s="4"/>
      <c r="I3" s="4"/>
      <c r="J3" s="4"/>
      <c r="K3" s="4"/>
    </row>
    <row r="4" spans="1:11" ht="28.8" x14ac:dyDescent="0.3">
      <c r="A4" s="4" t="s">
        <v>183</v>
      </c>
      <c r="B4" s="24">
        <f>COUNTA(Datos_limpios_200!A2:A201)</f>
        <v>200</v>
      </c>
      <c r="C4" s="24">
        <f>COUNTA(Datos_catedra!A2:A491)</f>
        <v>490</v>
      </c>
      <c r="D4" s="24"/>
      <c r="E4" s="4" t="s">
        <v>184</v>
      </c>
      <c r="F4" s="4"/>
      <c r="G4" s="4"/>
      <c r="H4" s="4"/>
      <c r="I4" s="4"/>
      <c r="J4" s="4"/>
      <c r="K4" s="4"/>
    </row>
    <row r="5" spans="1:11" x14ac:dyDescent="0.3">
      <c r="A5" s="4" t="s">
        <v>185</v>
      </c>
      <c r="B5" s="24">
        <f>AVERAGE(Datos_limpios_200!I2:I201)</f>
        <v>3.922499999999999</v>
      </c>
      <c r="C5" s="24">
        <f>AVERAGE(Datos_catedra!A2:A491)</f>
        <v>4.4734693877551024</v>
      </c>
      <c r="D5" s="24">
        <f>C5-B5</f>
        <v>0.5509693877551034</v>
      </c>
      <c r="E5" s="4" t="s">
        <v>186</v>
      </c>
      <c r="F5" s="4"/>
      <c r="G5" s="4"/>
      <c r="H5" s="4"/>
      <c r="I5" s="4"/>
      <c r="J5" s="4"/>
      <c r="K5" s="4"/>
    </row>
    <row r="6" spans="1:11" x14ac:dyDescent="0.3">
      <c r="A6" s="4" t="s">
        <v>64</v>
      </c>
      <c r="B6" s="24">
        <f>MEDIAN(Datos_limpios_200!I2:I201)</f>
        <v>3.5</v>
      </c>
      <c r="C6" s="24">
        <f>MEDIAN(Datos_catedra!A2:A491)</f>
        <v>4</v>
      </c>
      <c r="D6" s="24">
        <f>C6-B6</f>
        <v>0.5</v>
      </c>
      <c r="E6" s="4" t="s">
        <v>187</v>
      </c>
      <c r="F6" s="4"/>
      <c r="G6" s="4"/>
      <c r="H6" s="4"/>
      <c r="I6" s="4"/>
      <c r="J6" s="4"/>
      <c r="K6" s="4"/>
    </row>
    <row r="7" spans="1:11" x14ac:dyDescent="0.3">
      <c r="A7" s="4" t="s">
        <v>121</v>
      </c>
      <c r="B7" s="24">
        <f>SQRT(SUMPRODUCT((Datos_limpios_200!$I$2:$I$201-B5)*(Datos_limpios_200!$I$2:$I$201-B5))/(B4-1))</f>
        <v>1.9262126637862838</v>
      </c>
      <c r="C7" s="24">
        <f>Frecuencias_catedra!J8</f>
        <v>2.2438988409158349</v>
      </c>
      <c r="D7" s="24">
        <f>C7-B7</f>
        <v>0.31768617712955116</v>
      </c>
      <c r="E7" s="4" t="s">
        <v>188</v>
      </c>
      <c r="F7" s="4"/>
      <c r="G7" s="4"/>
      <c r="H7" s="4"/>
      <c r="I7" s="4"/>
      <c r="J7" s="4"/>
      <c r="K7" s="4"/>
    </row>
    <row r="8" spans="1:11" ht="28.8" x14ac:dyDescent="0.3">
      <c r="A8" s="4" t="s">
        <v>189</v>
      </c>
      <c r="B8" s="24">
        <f>-0.194</f>
        <v>-0.19400000000000001</v>
      </c>
      <c r="C8" s="24">
        <f>CORREL(Datos_catedra!A2:A491,Datos_catedra!B2:B491)</f>
        <v>-0.58307785051794048</v>
      </c>
      <c r="D8" s="24">
        <f>C8-B8</f>
        <v>-0.38907785051794047</v>
      </c>
      <c r="E8" s="4" t="s">
        <v>190</v>
      </c>
      <c r="F8" s="4"/>
      <c r="G8" s="4"/>
      <c r="H8" s="4"/>
      <c r="I8" s="4"/>
      <c r="J8" s="4"/>
      <c r="K8" s="4"/>
    </row>
    <row r="9" spans="1:1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28.8" x14ac:dyDescent="0.3">
      <c r="A10" s="32" t="s">
        <v>191</v>
      </c>
      <c r="B10" s="35" t="s">
        <v>192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32" t="s">
        <v>162</v>
      </c>
      <c r="B11" s="35" t="s">
        <v>193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3">
      <c r="A12" s="32" t="s">
        <v>163</v>
      </c>
      <c r="B12" s="35" t="s">
        <v>194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Datos_limpios_200</vt:lpstr>
      <vt:lpstr>Resumen_limpieza</vt:lpstr>
      <vt:lpstr>Revision_y_no_usadas</vt:lpstr>
      <vt:lpstr>Datos_originales</vt:lpstr>
      <vt:lpstr>Desarrollo_1ra_etapa</vt:lpstr>
      <vt:lpstr>Frecuencias_pantalla</vt:lpstr>
      <vt:lpstr>Regresion_lineal</vt:lpstr>
      <vt:lpstr>Datos_catedra</vt:lpstr>
      <vt:lpstr>Frecuencias_catedra</vt:lpstr>
      <vt:lpstr>Comparacion_catedra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Vega</dc:creator>
  <cp:lastModifiedBy>Ezequiel Vega</cp:lastModifiedBy>
  <dcterms:created xsi:type="dcterms:W3CDTF">2026-06-12T19:27:54Z</dcterms:created>
  <dcterms:modified xsi:type="dcterms:W3CDTF">2026-06-12T19:27:54Z</dcterms:modified>
</cp:coreProperties>
</file>